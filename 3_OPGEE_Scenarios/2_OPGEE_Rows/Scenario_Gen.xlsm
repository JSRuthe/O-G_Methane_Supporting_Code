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ruthe\Dropbox\Doctoral\Projects\Research Projects\manuscripts\2_methane paper\paper ii - component level\Analysis\5_Scenario_Generation\5c_OPGEE rows\"/>
    </mc:Choice>
  </mc:AlternateContent>
  <bookViews>
    <workbookView xWindow="-105" yWindow="-105" windowWidth="19425" windowHeight="11025"/>
  </bookViews>
  <sheets>
    <sheet name="Introduction" sheetId="3" r:id="rId1"/>
    <sheet name="Input_Data" sheetId="1" r:id="rId2"/>
    <sheet name="Scenario_Gen" sheetId="2" r:id="rId3"/>
  </sheets>
  <definedNames>
    <definedName name="data_year">Input_Data!#REF!</definedName>
    <definedName name="gas_type">Input_Data!$B$6</definedName>
    <definedName name="LUs">Input_Data!$B$12</definedName>
    <definedName name="sample_size">Input_Data!#REF!</definedName>
    <definedName name="Tranches">Input_Data!$B$11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" i="1" l="1"/>
</calcChain>
</file>

<file path=xl/sharedStrings.xml><?xml version="1.0" encoding="utf-8"?>
<sst xmlns="http://schemas.openxmlformats.org/spreadsheetml/2006/main" count="65" uniqueCount="42">
  <si>
    <t>INPUT DATA</t>
  </si>
  <si>
    <t>Realizations</t>
  </si>
  <si>
    <t>Fuel type</t>
  </si>
  <si>
    <t>1 = gas, 2 = oil</t>
  </si>
  <si>
    <t>Representation</t>
  </si>
  <si>
    <t>1 = rate, 2 = mass flux</t>
  </si>
  <si>
    <t>TRANCHE DATA</t>
  </si>
  <si>
    <t>Total Tranches</t>
  </si>
  <si>
    <t>Total LU</t>
  </si>
  <si>
    <t>Bin</t>
  </si>
  <si>
    <t>Wells</t>
  </si>
  <si>
    <t>Average Production (Mscf/wellday)</t>
  </si>
  <si>
    <t>Total Production (Mscf/day)</t>
  </si>
  <si>
    <t>Oil (2015 data)</t>
  </si>
  <si>
    <t>COMPLETION DATA</t>
  </si>
  <si>
    <t>Gas</t>
  </si>
  <si>
    <t>#</t>
  </si>
  <si>
    <t>Type</t>
  </si>
  <si>
    <t>Frac</t>
  </si>
  <si>
    <t>HF</t>
  </si>
  <si>
    <t>RECs</t>
  </si>
  <si>
    <t>Flaring</t>
  </si>
  <si>
    <t>Non-HF / vented</t>
  </si>
  <si>
    <t>Non-HF / flared</t>
  </si>
  <si>
    <t>HF / Non-REC / Venting</t>
  </si>
  <si>
    <t>HF / Non-REC / Flaring</t>
  </si>
  <si>
    <t>HF / REC / Venting</t>
  </si>
  <si>
    <t>HF / REC / Flaring</t>
  </si>
  <si>
    <t>LU DATA</t>
  </si>
  <si>
    <t>plunger</t>
  </si>
  <si>
    <t>none</t>
  </si>
  <si>
    <t>no plunger</t>
  </si>
  <si>
    <t>Total oil production [bbl/day]</t>
  </si>
  <si>
    <t>prod kg</t>
  </si>
  <si>
    <t>prod scf</t>
  </si>
  <si>
    <t>wells</t>
  </si>
  <si>
    <t>prod bbl</t>
  </si>
  <si>
    <t>k</t>
  </si>
  <si>
    <t>i</t>
  </si>
  <si>
    <t>Mscf</t>
  </si>
  <si>
    <t>Gas (2015 data) First ten are dry gas, second ten are associated gas</t>
  </si>
  <si>
    <t>(BASED ON 2020 GHGI)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</si>
</sst>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3" borderId="7" xfId="0" applyFont="1" applyFill="1" applyBorder="1"/>
    <xf numFmtId="0" fontId="1" fillId="2" borderId="8" xfId="0" applyFont="1" applyFill="1" applyBorder="1"/>
    <xf numFmtId="0" fontId="1" fillId="3" borderId="9" xfId="0" applyFont="1" applyFill="1" applyBorder="1"/>
    <xf numFmtId="1" fontId="0" fillId="2" borderId="0" xfId="0" applyNumberFormat="1" applyFill="1"/>
    <xf numFmtId="0" fontId="3" fillId="0" borderId="0" xfId="0" applyFont="1"/>
    <xf numFmtId="0" fontId="0" fillId="2" borderId="10" xfId="0" applyFill="1" applyBorder="1"/>
    <xf numFmtId="0" fontId="0" fillId="0" borderId="10" xfId="0" applyFill="1" applyBorder="1"/>
    <xf numFmtId="0" fontId="0" fillId="2" borderId="1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19050</xdr:rowOff>
    </xdr:from>
    <xdr:to>
      <xdr:col>8</xdr:col>
      <xdr:colOff>485775</xdr:colOff>
      <xdr:row>26</xdr:row>
      <xdr:rowOff>95250</xdr:rowOff>
    </xdr:to>
    <xdr:sp macro="" textlink="">
      <xdr:nvSpPr>
        <xdr:cNvPr id="2" name="TextBox 1"/>
        <xdr:cNvSpPr txBox="1"/>
      </xdr:nvSpPr>
      <xdr:spPr>
        <a:xfrm>
          <a:off x="581025" y="209550"/>
          <a:ext cx="4781550" cy="483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worksheet</a:t>
          </a:r>
          <a:r>
            <a:rPr lang="en-US" sz="1100" baseline="0"/>
            <a:t> takes outputs from the "di_strubbing" Matlab file, in the form of well and production tranche data, and produces columns for use in OPGEE.</a:t>
          </a:r>
        </a:p>
        <a:p>
          <a:endParaRPr lang="en-US" sz="1100" baseline="0"/>
        </a:p>
        <a:p>
          <a:r>
            <a:rPr lang="en-US" sz="1100" baseline="0"/>
            <a:t>Because OPGEE treats well liquids unloadings based on type, this spreadsheet macro takes each tranche from the di_scrubbing Matlab code and divides it into 3 separate columns based on the proportion of wells with different liquids unloadings techniques.</a:t>
          </a:r>
        </a:p>
        <a:p>
          <a:endParaRPr lang="en-US" sz="1100" baseline="0"/>
        </a:p>
        <a:p>
          <a:r>
            <a:rPr lang="en-US" sz="1100" b="1" baseline="0"/>
            <a:t>Instructions:</a:t>
          </a:r>
        </a:p>
        <a:p>
          <a:endParaRPr lang="en-US" sz="1100" baseline="0"/>
        </a:p>
        <a:p>
          <a:r>
            <a:rPr lang="en-US" sz="1100" baseline="0"/>
            <a:t>Toggle "Fuel type" to produce rows for either gas producing wells or oil producing wells</a:t>
          </a:r>
        </a:p>
        <a:p>
          <a:endParaRPr lang="en-US" sz="1100" baseline="0"/>
        </a:p>
        <a:p>
          <a:r>
            <a:rPr lang="en-US" sz="1100" baseline="0"/>
            <a:t>For gas producing wells set "Total LU" = 3</a:t>
          </a:r>
        </a:p>
        <a:p>
          <a:r>
            <a:rPr lang="en-US" sz="1100" baseline="0"/>
            <a:t>For oil producing wells set "Total LU" = 1</a:t>
          </a:r>
        </a:p>
        <a:p>
          <a:endParaRPr lang="en-US" sz="1100" baseline="0"/>
        </a:p>
        <a:p>
          <a:r>
            <a:rPr lang="en-US" sz="1100" baseline="0"/>
            <a:t>Inputs (copy and paste from di_scrubbing.m)</a:t>
          </a:r>
        </a:p>
        <a:p>
          <a:r>
            <a:rPr lang="en-US" sz="1100" baseline="0"/>
            <a:t>- gasdry_bins_v2015_no_offshore.csv</a:t>
          </a:r>
        </a:p>
        <a:p>
          <a:r>
            <a:rPr lang="en-US" sz="1100" baseline="0"/>
            <a:t>- gasassoc_bins_v2015_no_offshore.csv</a:t>
          </a:r>
        </a:p>
        <a:p>
          <a:r>
            <a:rPr lang="en-US" sz="1100" baseline="0"/>
            <a:t>- oil_bins_v2015_no_offshore.csv</a:t>
          </a:r>
        </a:p>
        <a:p>
          <a:r>
            <a:rPr lang="en-US" sz="1100" baseline="0"/>
            <a:t>- oilwet_bins_v2015_no_offshore.csv</a:t>
          </a:r>
        </a:p>
        <a:p>
          <a:endParaRPr lang="en-US" sz="1100" baseline="0"/>
        </a:p>
        <a:p>
          <a:r>
            <a:rPr lang="en-US" sz="1100" baseline="0"/>
            <a:t>Outputs</a:t>
          </a:r>
        </a:p>
        <a:p>
          <a:r>
            <a:rPr lang="en-US" sz="1100" baseline="0"/>
            <a:t>- Columns for input into OPGEE  (can't directly copy and paste, some edits to row spacing required)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7</xdr:row>
          <xdr:rowOff>0</xdr:rowOff>
        </xdr:from>
        <xdr:to>
          <xdr:col>13</xdr:col>
          <xdr:colOff>133350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O20" sqref="O20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4"/>
  <sheetViews>
    <sheetView zoomScale="70" zoomScaleNormal="70" workbookViewId="0">
      <selection activeCell="D11" sqref="D11"/>
    </sheetView>
  </sheetViews>
  <sheetFormatPr defaultColWidth="9.140625" defaultRowHeight="15" x14ac:dyDescent="0.25"/>
  <cols>
    <col min="1" max="1" width="17.85546875" style="1" customWidth="1"/>
    <col min="2" max="2" width="20.5703125" style="1" customWidth="1"/>
    <col min="3" max="3" width="17.7109375" style="1" customWidth="1"/>
    <col min="4" max="4" width="14.42578125" style="1" customWidth="1"/>
    <col min="5" max="8" width="9.140625" style="1"/>
    <col min="9" max="12" width="16.7109375" style="1" customWidth="1"/>
    <col min="13" max="16" width="9.140625" style="1"/>
    <col min="17" max="17" width="14.85546875" style="1" bestFit="1" customWidth="1"/>
    <col min="18" max="16384" width="9.140625" style="1"/>
  </cols>
  <sheetData>
    <row r="1" spans="1:13" ht="15.75" thickBot="1" x14ac:dyDescent="0.3"/>
    <row r="2" spans="1:13" s="3" customFormat="1" ht="15.75" thickBot="1" x14ac:dyDescent="0.3">
      <c r="A2" s="2" t="s">
        <v>0</v>
      </c>
    </row>
    <row r="4" spans="1:13" ht="15.75" thickBot="1" x14ac:dyDescent="0.3"/>
    <row r="5" spans="1:13" ht="15.75" thickBot="1" x14ac:dyDescent="0.3">
      <c r="A5" s="4" t="s">
        <v>1</v>
      </c>
      <c r="B5" s="5">
        <v>2</v>
      </c>
      <c r="C5" s="6"/>
      <c r="D5" s="6"/>
      <c r="E5" s="6"/>
      <c r="F5" s="6"/>
      <c r="M5" s="6"/>
    </row>
    <row r="6" spans="1:13" ht="15.75" thickBot="1" x14ac:dyDescent="0.3">
      <c r="A6" s="4" t="s">
        <v>2</v>
      </c>
      <c r="B6" s="5">
        <v>2</v>
      </c>
      <c r="C6" s="6" t="s">
        <v>3</v>
      </c>
      <c r="D6" s="7"/>
      <c r="E6" s="6"/>
      <c r="F6" s="6"/>
      <c r="M6" s="6"/>
    </row>
    <row r="7" spans="1:13" ht="15.75" thickBot="1" x14ac:dyDescent="0.3">
      <c r="A7" s="4" t="s">
        <v>4</v>
      </c>
      <c r="B7" s="5">
        <v>2</v>
      </c>
      <c r="C7" s="6" t="s">
        <v>5</v>
      </c>
      <c r="D7" s="6"/>
      <c r="E7" s="6"/>
      <c r="F7" s="6"/>
      <c r="M7" s="6"/>
    </row>
    <row r="8" spans="1:13" ht="15.75" thickBot="1" x14ac:dyDescent="0.3"/>
    <row r="9" spans="1:13" s="3" customFormat="1" ht="15.75" thickBot="1" x14ac:dyDescent="0.3">
      <c r="A9" s="2" t="s">
        <v>6</v>
      </c>
    </row>
    <row r="10" spans="1:13" ht="15.75" thickBot="1" x14ac:dyDescent="0.3"/>
    <row r="11" spans="1:13" x14ac:dyDescent="0.25">
      <c r="A11" s="8" t="s">
        <v>7</v>
      </c>
      <c r="B11" s="9">
        <v>20</v>
      </c>
    </row>
    <row r="12" spans="1:13" ht="15.75" thickBot="1" x14ac:dyDescent="0.3">
      <c r="A12" s="10" t="s">
        <v>8</v>
      </c>
      <c r="B12" s="11">
        <v>1</v>
      </c>
    </row>
    <row r="14" spans="1:13" x14ac:dyDescent="0.25">
      <c r="A14" s="1" t="s">
        <v>40</v>
      </c>
      <c r="I14" s="1" t="s">
        <v>13</v>
      </c>
    </row>
    <row r="15" spans="1:13" x14ac:dyDescent="0.25">
      <c r="A15" s="14" t="s">
        <v>9</v>
      </c>
      <c r="B15" s="14" t="s">
        <v>10</v>
      </c>
      <c r="C15" s="14" t="s">
        <v>11</v>
      </c>
      <c r="D15" s="14" t="s">
        <v>12</v>
      </c>
      <c r="E15" s="14" t="s">
        <v>32</v>
      </c>
      <c r="I15" s="14" t="s">
        <v>9</v>
      </c>
      <c r="J15" s="14" t="s">
        <v>10</v>
      </c>
      <c r="K15" s="14" t="s">
        <v>11</v>
      </c>
      <c r="L15" s="14" t="s">
        <v>12</v>
      </c>
      <c r="M15" s="15" t="s">
        <v>32</v>
      </c>
    </row>
    <row r="16" spans="1:13" x14ac:dyDescent="0.25">
      <c r="A16" s="14">
        <v>1</v>
      </c>
      <c r="B16" s="14">
        <v>38225</v>
      </c>
      <c r="C16" s="14">
        <v>0.39412000000000003</v>
      </c>
      <c r="D16" s="14">
        <v>15065</v>
      </c>
      <c r="E16" s="14">
        <v>3.7843000000000002E-2</v>
      </c>
      <c r="I16" s="14">
        <v>1</v>
      </c>
      <c r="J16" s="14">
        <v>65606</v>
      </c>
      <c r="K16" s="14">
        <v>0.35221000000000002</v>
      </c>
      <c r="L16" s="14">
        <v>23107</v>
      </c>
      <c r="M16" s="14">
        <v>192790</v>
      </c>
    </row>
    <row r="17" spans="1:13" x14ac:dyDescent="0.25">
      <c r="A17" s="14">
        <v>2</v>
      </c>
      <c r="B17" s="14">
        <v>65138</v>
      </c>
      <c r="C17" s="14">
        <v>2.7684000000000002</v>
      </c>
      <c r="D17" s="14">
        <v>180330</v>
      </c>
      <c r="E17" s="14">
        <v>6.4487000000000003E-2</v>
      </c>
      <c r="I17" s="14">
        <v>2</v>
      </c>
      <c r="J17" s="14">
        <v>89163</v>
      </c>
      <c r="K17" s="14">
        <v>2.6000999999999999</v>
      </c>
      <c r="L17" s="14">
        <v>231830</v>
      </c>
      <c r="M17" s="14">
        <v>425170</v>
      </c>
    </row>
    <row r="18" spans="1:13" x14ac:dyDescent="0.25">
      <c r="A18" s="14">
        <v>3</v>
      </c>
      <c r="B18" s="14">
        <v>43154</v>
      </c>
      <c r="C18" s="14">
        <v>7.2584999999999997</v>
      </c>
      <c r="D18" s="14">
        <v>313240</v>
      </c>
      <c r="E18" s="14">
        <v>4.2722000000000003E-2</v>
      </c>
      <c r="I18" s="14">
        <v>3</v>
      </c>
      <c r="J18" s="14">
        <v>38948</v>
      </c>
      <c r="K18" s="14">
        <v>7.2027999999999999</v>
      </c>
      <c r="L18" s="14">
        <v>280540</v>
      </c>
      <c r="M18" s="14">
        <v>208860</v>
      </c>
    </row>
    <row r="19" spans="1:13" x14ac:dyDescent="0.25">
      <c r="A19" s="14">
        <v>4</v>
      </c>
      <c r="B19" s="14">
        <v>44523</v>
      </c>
      <c r="C19" s="14">
        <v>14.423999999999999</v>
      </c>
      <c r="D19" s="14">
        <v>642190</v>
      </c>
      <c r="E19" s="14">
        <v>4.4077999999999999E-2</v>
      </c>
      <c r="I19" s="14">
        <v>4</v>
      </c>
      <c r="J19" s="14">
        <v>44410</v>
      </c>
      <c r="K19" s="14">
        <v>14.388</v>
      </c>
      <c r="L19" s="14">
        <v>638950</v>
      </c>
      <c r="M19" s="14">
        <v>294520</v>
      </c>
    </row>
    <row r="20" spans="1:13" x14ac:dyDescent="0.25">
      <c r="A20" s="14">
        <v>5</v>
      </c>
      <c r="B20" s="14">
        <v>57148</v>
      </c>
      <c r="C20" s="14">
        <v>32.389000000000003</v>
      </c>
      <c r="D20" s="14">
        <v>1851000</v>
      </c>
      <c r="E20" s="14">
        <v>5.6577000000000002E-2</v>
      </c>
      <c r="I20" s="14">
        <v>5</v>
      </c>
      <c r="J20" s="14">
        <v>54343</v>
      </c>
      <c r="K20" s="14">
        <v>31.931999999999999</v>
      </c>
      <c r="L20" s="14">
        <v>1735300</v>
      </c>
      <c r="M20" s="14">
        <v>581920</v>
      </c>
    </row>
    <row r="21" spans="1:13" x14ac:dyDescent="0.25">
      <c r="A21" s="14">
        <v>6</v>
      </c>
      <c r="B21" s="14">
        <v>27868</v>
      </c>
      <c r="C21" s="14">
        <v>69.548000000000002</v>
      </c>
      <c r="D21" s="14">
        <v>1938200</v>
      </c>
      <c r="E21" s="14">
        <v>2.7588999999999999E-2</v>
      </c>
      <c r="I21" s="14">
        <v>6</v>
      </c>
      <c r="J21" s="14">
        <v>32775</v>
      </c>
      <c r="K21" s="14">
        <v>71.137</v>
      </c>
      <c r="L21" s="14">
        <v>2331500</v>
      </c>
      <c r="M21" s="14">
        <v>856460</v>
      </c>
    </row>
    <row r="22" spans="1:13" x14ac:dyDescent="0.25">
      <c r="A22" s="14">
        <v>7</v>
      </c>
      <c r="B22" s="14">
        <v>31429</v>
      </c>
      <c r="C22" s="14">
        <v>228.87</v>
      </c>
      <c r="D22" s="14">
        <v>7193200</v>
      </c>
      <c r="E22" s="14">
        <v>3.1115E-2</v>
      </c>
      <c r="I22" s="14">
        <v>7</v>
      </c>
      <c r="J22" s="14">
        <v>42848</v>
      </c>
      <c r="K22" s="14">
        <v>216.83</v>
      </c>
      <c r="L22" s="14">
        <v>9290800</v>
      </c>
      <c r="M22" s="14">
        <v>2722700</v>
      </c>
    </row>
    <row r="23" spans="1:13" x14ac:dyDescent="0.25">
      <c r="A23" s="14">
        <v>8</v>
      </c>
      <c r="B23" s="14">
        <v>6727</v>
      </c>
      <c r="C23" s="14">
        <v>690.34</v>
      </c>
      <c r="D23" s="14">
        <v>4643900</v>
      </c>
      <c r="E23" s="14">
        <v>6.6597000000000002E-3</v>
      </c>
      <c r="I23" s="14">
        <v>8</v>
      </c>
      <c r="J23" s="14">
        <v>7280</v>
      </c>
      <c r="K23" s="14">
        <v>687.24</v>
      </c>
      <c r="L23" s="14">
        <v>5003100</v>
      </c>
      <c r="M23" s="14">
        <v>953610</v>
      </c>
    </row>
    <row r="24" spans="1:13" x14ac:dyDescent="0.25">
      <c r="A24" s="14">
        <v>9</v>
      </c>
      <c r="B24" s="14">
        <v>5875</v>
      </c>
      <c r="C24" s="14">
        <v>2571.8000000000002</v>
      </c>
      <c r="D24" s="14">
        <v>15109000</v>
      </c>
      <c r="E24" s="14">
        <v>5.8162999999999999E-3</v>
      </c>
      <c r="I24" s="14">
        <v>9</v>
      </c>
      <c r="J24" s="14">
        <v>4464</v>
      </c>
      <c r="K24" s="14">
        <v>2213.1</v>
      </c>
      <c r="L24" s="14">
        <v>9879200</v>
      </c>
      <c r="M24" s="14">
        <v>676700</v>
      </c>
    </row>
    <row r="25" spans="1:13" x14ac:dyDescent="0.25">
      <c r="A25" s="14">
        <v>10</v>
      </c>
      <c r="B25" s="14">
        <v>87</v>
      </c>
      <c r="C25" s="14">
        <v>20103</v>
      </c>
      <c r="D25" s="14">
        <v>1748900</v>
      </c>
      <c r="E25" s="14">
        <v>8.6130000000000004E-5</v>
      </c>
      <c r="I25" s="14">
        <v>10</v>
      </c>
      <c r="J25" s="14">
        <v>348</v>
      </c>
      <c r="K25" s="14">
        <v>15331</v>
      </c>
      <c r="L25" s="14">
        <v>5335200</v>
      </c>
      <c r="M25" s="14">
        <v>99644</v>
      </c>
    </row>
    <row r="26" spans="1:13" x14ac:dyDescent="0.25">
      <c r="A26" s="14">
        <v>11</v>
      </c>
      <c r="B26" s="14">
        <v>400</v>
      </c>
      <c r="C26" s="14">
        <v>0.61421999999999999</v>
      </c>
      <c r="D26" s="14">
        <v>245.69</v>
      </c>
      <c r="E26" s="14">
        <v>1.2047000000000001</v>
      </c>
      <c r="I26" s="14">
        <v>11</v>
      </c>
      <c r="J26" s="14">
        <v>114480</v>
      </c>
      <c r="K26" s="14">
        <v>0.15862999999999999</v>
      </c>
      <c r="L26" s="14">
        <v>18160</v>
      </c>
      <c r="M26" s="14">
        <v>38135</v>
      </c>
    </row>
    <row r="27" spans="1:13" x14ac:dyDescent="0.25">
      <c r="A27" s="14">
        <v>12</v>
      </c>
      <c r="B27" s="14">
        <v>2880</v>
      </c>
      <c r="C27" s="14">
        <v>3.0026999999999999</v>
      </c>
      <c r="D27" s="14">
        <v>8647.7999999999993</v>
      </c>
      <c r="E27" s="14">
        <v>39.106999999999999</v>
      </c>
      <c r="I27" s="14">
        <v>12</v>
      </c>
      <c r="J27" s="14">
        <v>27038</v>
      </c>
      <c r="K27" s="14">
        <v>0.71743999999999997</v>
      </c>
      <c r="L27" s="14">
        <v>19398</v>
      </c>
      <c r="M27" s="14">
        <v>40064</v>
      </c>
    </row>
    <row r="28" spans="1:13" x14ac:dyDescent="0.25">
      <c r="A28" s="14">
        <v>13</v>
      </c>
      <c r="B28" s="14">
        <v>3907</v>
      </c>
      <c r="C28" s="14">
        <v>7.5458999999999996</v>
      </c>
      <c r="D28" s="14">
        <v>29482</v>
      </c>
      <c r="E28" s="14">
        <v>111.4</v>
      </c>
      <c r="I28" s="14">
        <v>13</v>
      </c>
      <c r="J28" s="14">
        <v>45264</v>
      </c>
      <c r="K28" s="14">
        <v>2.9508999999999999</v>
      </c>
      <c r="L28" s="14">
        <v>133570</v>
      </c>
      <c r="M28" s="14">
        <v>269770</v>
      </c>
    </row>
    <row r="29" spans="1:13" x14ac:dyDescent="0.25">
      <c r="A29" s="14">
        <v>14</v>
      </c>
      <c r="B29" s="14">
        <v>9384</v>
      </c>
      <c r="C29" s="14">
        <v>15.228</v>
      </c>
      <c r="D29" s="14">
        <v>142900</v>
      </c>
      <c r="E29" s="14">
        <v>495.86</v>
      </c>
      <c r="I29" s="14">
        <v>14</v>
      </c>
      <c r="J29" s="14">
        <v>4792</v>
      </c>
      <c r="K29" s="14">
        <v>22.396000000000001</v>
      </c>
      <c r="L29" s="14">
        <v>107320</v>
      </c>
      <c r="M29" s="14">
        <v>205210</v>
      </c>
    </row>
    <row r="30" spans="1:13" x14ac:dyDescent="0.25">
      <c r="A30" s="14">
        <v>15</v>
      </c>
      <c r="B30" s="14">
        <v>30938</v>
      </c>
      <c r="C30" s="14">
        <v>34.545000000000002</v>
      </c>
      <c r="D30" s="14">
        <v>1068800</v>
      </c>
      <c r="E30" s="14">
        <v>3672.7</v>
      </c>
    </row>
    <row r="31" spans="1:13" x14ac:dyDescent="0.25">
      <c r="A31" s="14">
        <v>16</v>
      </c>
      <c r="B31" s="14">
        <v>29916</v>
      </c>
      <c r="C31" s="14">
        <v>71.081999999999994</v>
      </c>
      <c r="D31" s="14">
        <v>2126500</v>
      </c>
      <c r="E31" s="14">
        <v>6929.3</v>
      </c>
    </row>
    <row r="32" spans="1:13" x14ac:dyDescent="0.25">
      <c r="A32" s="14">
        <v>17</v>
      </c>
      <c r="B32" s="14">
        <v>30031</v>
      </c>
      <c r="C32" s="14">
        <v>197.92</v>
      </c>
      <c r="D32" s="14">
        <v>5943900</v>
      </c>
      <c r="E32" s="14">
        <v>20835</v>
      </c>
    </row>
    <row r="33" spans="1:14" x14ac:dyDescent="0.25">
      <c r="A33" s="14">
        <v>18</v>
      </c>
      <c r="B33" s="14">
        <v>3094</v>
      </c>
      <c r="C33" s="14">
        <v>696.61</v>
      </c>
      <c r="D33" s="14">
        <v>2155300</v>
      </c>
      <c r="E33" s="14">
        <v>8337.1</v>
      </c>
    </row>
    <row r="34" spans="1:14" x14ac:dyDescent="0.25">
      <c r="A34" s="14">
        <v>19</v>
      </c>
      <c r="B34" s="14">
        <v>2684</v>
      </c>
      <c r="C34" s="14">
        <v>2376.6999999999998</v>
      </c>
      <c r="D34" s="14">
        <v>6379100</v>
      </c>
      <c r="E34" s="14">
        <v>19625</v>
      </c>
    </row>
    <row r="35" spans="1:14" x14ac:dyDescent="0.25">
      <c r="A35" s="14">
        <v>20</v>
      </c>
      <c r="B35" s="14">
        <v>22</v>
      </c>
      <c r="C35" s="14">
        <v>15955</v>
      </c>
      <c r="D35" s="14">
        <v>351000</v>
      </c>
      <c r="E35" s="14">
        <v>1133.3</v>
      </c>
    </row>
    <row r="37" spans="1:14" x14ac:dyDescent="0.25">
      <c r="D37" s="12"/>
    </row>
    <row r="38" spans="1:14" x14ac:dyDescent="0.25">
      <c r="A38" s="1" t="s">
        <v>14</v>
      </c>
    </row>
    <row r="39" spans="1:14" x14ac:dyDescent="0.25">
      <c r="A39" s="1" t="s">
        <v>15</v>
      </c>
    </row>
    <row r="41" spans="1:14" x14ac:dyDescent="0.25">
      <c r="A41" s="14" t="s">
        <v>16</v>
      </c>
      <c r="B41" s="14" t="s">
        <v>17</v>
      </c>
      <c r="C41" s="14" t="s">
        <v>18</v>
      </c>
      <c r="D41" s="14" t="s">
        <v>19</v>
      </c>
      <c r="E41" s="14" t="s">
        <v>20</v>
      </c>
      <c r="F41" s="14" t="s">
        <v>21</v>
      </c>
      <c r="I41" s="14" t="s">
        <v>16</v>
      </c>
      <c r="J41" s="14" t="s">
        <v>17</v>
      </c>
      <c r="K41" s="14" t="s">
        <v>18</v>
      </c>
      <c r="L41" s="14" t="s">
        <v>19</v>
      </c>
      <c r="M41" s="14" t="s">
        <v>20</v>
      </c>
      <c r="N41" s="14" t="s">
        <v>21</v>
      </c>
    </row>
    <row r="42" spans="1:14" x14ac:dyDescent="0.25">
      <c r="A42" s="14">
        <v>1</v>
      </c>
      <c r="B42" s="14" t="s">
        <v>22</v>
      </c>
      <c r="C42" s="14">
        <v>0.1</v>
      </c>
      <c r="D42" s="14">
        <v>0</v>
      </c>
      <c r="E42" s="14">
        <v>0</v>
      </c>
      <c r="F42" s="14">
        <v>0</v>
      </c>
      <c r="I42" s="14">
        <v>1</v>
      </c>
      <c r="J42" s="16" t="s">
        <v>22</v>
      </c>
      <c r="K42" s="14">
        <v>0.44</v>
      </c>
      <c r="L42" s="14">
        <v>0</v>
      </c>
      <c r="M42" s="14">
        <v>0</v>
      </c>
      <c r="N42" s="14">
        <v>0</v>
      </c>
    </row>
    <row r="43" spans="1:14" x14ac:dyDescent="0.25">
      <c r="A43" s="14">
        <v>2</v>
      </c>
      <c r="B43" s="14" t="s">
        <v>23</v>
      </c>
      <c r="C43" s="14">
        <v>7.0000000000000007E-2</v>
      </c>
      <c r="D43" s="14">
        <v>0</v>
      </c>
      <c r="E43" s="14">
        <v>0</v>
      </c>
      <c r="F43" s="14">
        <v>1</v>
      </c>
      <c r="I43" s="14">
        <v>2</v>
      </c>
      <c r="J43" s="16" t="s">
        <v>24</v>
      </c>
      <c r="K43" s="14">
        <v>0.01</v>
      </c>
      <c r="L43" s="14">
        <v>1</v>
      </c>
      <c r="M43" s="14">
        <v>0</v>
      </c>
      <c r="N43" s="14">
        <v>0</v>
      </c>
    </row>
    <row r="44" spans="1:14" x14ac:dyDescent="0.25">
      <c r="A44" s="14">
        <v>3</v>
      </c>
      <c r="B44" s="14" t="s">
        <v>24</v>
      </c>
      <c r="C44" s="14">
        <v>0.02</v>
      </c>
      <c r="D44" s="14">
        <v>1</v>
      </c>
      <c r="E44" s="14">
        <v>0</v>
      </c>
      <c r="F44" s="14">
        <v>0</v>
      </c>
      <c r="I44" s="14">
        <v>3</v>
      </c>
      <c r="J44" s="16" t="s">
        <v>25</v>
      </c>
      <c r="K44" s="14">
        <v>7.0000000000000007E-2</v>
      </c>
      <c r="L44" s="14">
        <v>1</v>
      </c>
      <c r="M44" s="14">
        <v>0</v>
      </c>
      <c r="N44" s="14">
        <v>1</v>
      </c>
    </row>
    <row r="45" spans="1:14" x14ac:dyDescent="0.25">
      <c r="A45" s="14">
        <v>4</v>
      </c>
      <c r="B45" s="14" t="s">
        <v>25</v>
      </c>
      <c r="C45" s="14">
        <v>0.04</v>
      </c>
      <c r="D45" s="14">
        <v>1</v>
      </c>
      <c r="E45" s="14">
        <v>0</v>
      </c>
      <c r="F45" s="14">
        <v>1</v>
      </c>
      <c r="I45" s="14">
        <v>4</v>
      </c>
      <c r="J45" s="16" t="s">
        <v>26</v>
      </c>
      <c r="K45" s="14">
        <v>0.23</v>
      </c>
      <c r="L45" s="14">
        <v>1</v>
      </c>
      <c r="M45" s="14">
        <v>1</v>
      </c>
      <c r="N45" s="14">
        <v>0</v>
      </c>
    </row>
    <row r="46" spans="1:14" x14ac:dyDescent="0.25">
      <c r="A46" s="14">
        <v>5</v>
      </c>
      <c r="B46" s="14" t="s">
        <v>26</v>
      </c>
      <c r="C46" s="14">
        <v>0.6</v>
      </c>
      <c r="D46" s="14">
        <v>1</v>
      </c>
      <c r="E46" s="14">
        <v>1</v>
      </c>
      <c r="F46" s="14">
        <v>0</v>
      </c>
      <c r="I46" s="14">
        <v>5</v>
      </c>
      <c r="J46" s="16" t="s">
        <v>27</v>
      </c>
      <c r="K46" s="14">
        <v>0.25</v>
      </c>
      <c r="L46" s="14">
        <v>1</v>
      </c>
      <c r="M46" s="14">
        <v>1</v>
      </c>
      <c r="N46" s="14">
        <v>1</v>
      </c>
    </row>
    <row r="47" spans="1:14" x14ac:dyDescent="0.25">
      <c r="A47" s="14">
        <v>6</v>
      </c>
      <c r="B47" s="14" t="s">
        <v>27</v>
      </c>
      <c r="C47" s="14">
        <v>0.18</v>
      </c>
      <c r="D47" s="14">
        <v>1</v>
      </c>
      <c r="E47" s="14">
        <v>1</v>
      </c>
      <c r="F47" s="14">
        <v>1</v>
      </c>
      <c r="I47" s="6"/>
    </row>
    <row r="48" spans="1:14" x14ac:dyDescent="0.25">
      <c r="I48" s="6"/>
    </row>
    <row r="49" spans="1:11" x14ac:dyDescent="0.25">
      <c r="A49" s="1" t="s">
        <v>28</v>
      </c>
      <c r="B49" s="1" t="s">
        <v>41</v>
      </c>
      <c r="I49" s="6"/>
    </row>
    <row r="51" spans="1:11" x14ac:dyDescent="0.25">
      <c r="A51" s="14" t="s">
        <v>16</v>
      </c>
      <c r="B51" s="14" t="s">
        <v>17</v>
      </c>
      <c r="C51" s="14" t="s">
        <v>18</v>
      </c>
      <c r="I51" s="14" t="s">
        <v>16</v>
      </c>
      <c r="J51" s="14" t="s">
        <v>17</v>
      </c>
      <c r="K51" s="14" t="s">
        <v>18</v>
      </c>
    </row>
    <row r="52" spans="1:11" x14ac:dyDescent="0.25">
      <c r="A52" s="14">
        <v>1</v>
      </c>
      <c r="B52" s="14" t="s">
        <v>29</v>
      </c>
      <c r="C52" s="14">
        <v>0.10358305</v>
      </c>
      <c r="I52" s="14">
        <v>1</v>
      </c>
      <c r="J52" s="14" t="s">
        <v>30</v>
      </c>
      <c r="K52" s="14">
        <v>1</v>
      </c>
    </row>
    <row r="53" spans="1:11" x14ac:dyDescent="0.25">
      <c r="A53" s="14">
        <v>2</v>
      </c>
      <c r="B53" s="14" t="s">
        <v>31</v>
      </c>
      <c r="C53" s="14">
        <v>7.1255120000000005E-2</v>
      </c>
    </row>
    <row r="54" spans="1:11" x14ac:dyDescent="0.25">
      <c r="A54" s="14">
        <v>3</v>
      </c>
      <c r="B54" s="14" t="s">
        <v>30</v>
      </c>
      <c r="C54" s="14">
        <f>1-C53-C52</f>
        <v>0.82516182999999999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11</xdr:col>
                    <xdr:colOff>133350</xdr:colOff>
                    <xdr:row>7</xdr:row>
                    <xdr:rowOff>0</xdr:rowOff>
                  </from>
                  <to>
                    <xdr:col>13</xdr:col>
                    <xdr:colOff>133350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U11"/>
  <sheetViews>
    <sheetView workbookViewId="0">
      <pane xSplit="1" topLeftCell="B1" activePane="topRight" state="frozen"/>
      <selection pane="topRight" activeCell="I22" sqref="I22"/>
    </sheetView>
  </sheetViews>
  <sheetFormatPr defaultRowHeight="15" x14ac:dyDescent="0.25"/>
  <cols>
    <col min="2" max="8" width="9.28515625" bestFit="1" customWidth="1"/>
    <col min="9" max="9" width="11.140625" bestFit="1" customWidth="1"/>
    <col min="10" max="27" width="9.28515625" bestFit="1" customWidth="1"/>
    <col min="28" max="28" width="12" bestFit="1" customWidth="1"/>
    <col min="29" max="61" width="9.28515625" bestFit="1" customWidth="1"/>
  </cols>
  <sheetData>
    <row r="2" spans="1:21" s="13" customFormat="1" x14ac:dyDescent="0.25">
      <c r="A2" s="13" t="s">
        <v>33</v>
      </c>
      <c r="B2" s="13">
        <v>366080.52236559999</v>
      </c>
      <c r="C2" s="13">
        <v>3672845.7826640001</v>
      </c>
      <c r="D2" s="13">
        <v>4444550.5580320004</v>
      </c>
      <c r="E2" s="13">
        <v>10122783.12916</v>
      </c>
      <c r="F2" s="13">
        <v>27492081.640240002</v>
      </c>
      <c r="G2" s="13">
        <v>36937583.325199999</v>
      </c>
      <c r="H2" s="13">
        <v>147192665.30464</v>
      </c>
      <c r="I2" s="13">
        <v>79263316.806480005</v>
      </c>
      <c r="J2" s="13">
        <v>156514592.83136001</v>
      </c>
      <c r="K2" s="13">
        <v>84524724.23616001</v>
      </c>
      <c r="L2" s="13">
        <v>287705.98892800004</v>
      </c>
      <c r="M2" s="13">
        <v>307319.42583840003</v>
      </c>
      <c r="N2" s="13">
        <v>2116128.245656</v>
      </c>
      <c r="O2" s="13">
        <v>1700253.674656</v>
      </c>
      <c r="P2" s="13">
        <v>0</v>
      </c>
      <c r="Q2" s="13">
        <v>0</v>
      </c>
      <c r="R2" s="13">
        <v>0</v>
      </c>
      <c r="S2" s="13">
        <v>0</v>
      </c>
      <c r="T2" s="13">
        <v>0</v>
      </c>
      <c r="U2" s="13">
        <v>0</v>
      </c>
    </row>
    <row r="3" spans="1:21" x14ac:dyDescent="0.25">
      <c r="A3" t="s">
        <v>34</v>
      </c>
      <c r="B3">
        <v>23107000</v>
      </c>
      <c r="C3">
        <v>231830000</v>
      </c>
      <c r="D3">
        <v>280540000</v>
      </c>
      <c r="E3">
        <v>638950000</v>
      </c>
      <c r="F3">
        <v>1735300000</v>
      </c>
      <c r="G3">
        <v>2331500000</v>
      </c>
      <c r="H3">
        <v>9290800000</v>
      </c>
      <c r="I3">
        <v>5003100000</v>
      </c>
      <c r="J3">
        <v>9879200000</v>
      </c>
      <c r="K3">
        <v>5335200000</v>
      </c>
      <c r="L3">
        <v>18160000</v>
      </c>
      <c r="M3">
        <v>19398000</v>
      </c>
      <c r="N3">
        <v>133570000</v>
      </c>
      <c r="O3">
        <v>107320000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 t="s">
        <v>35</v>
      </c>
      <c r="B4">
        <v>65606</v>
      </c>
      <c r="C4">
        <v>89163</v>
      </c>
      <c r="D4">
        <v>38948</v>
      </c>
      <c r="E4">
        <v>44410</v>
      </c>
      <c r="F4">
        <v>54343</v>
      </c>
      <c r="G4">
        <v>32775</v>
      </c>
      <c r="H4">
        <v>42848</v>
      </c>
      <c r="I4">
        <v>7280</v>
      </c>
      <c r="J4">
        <v>4464</v>
      </c>
      <c r="K4">
        <v>348</v>
      </c>
      <c r="L4">
        <v>114480</v>
      </c>
      <c r="M4">
        <v>27038</v>
      </c>
      <c r="N4">
        <v>45264</v>
      </c>
      <c r="O4">
        <v>4792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 t="s">
        <v>36</v>
      </c>
      <c r="B5">
        <v>192790</v>
      </c>
      <c r="C5">
        <v>425170</v>
      </c>
      <c r="D5">
        <v>208860</v>
      </c>
      <c r="E5">
        <v>294520</v>
      </c>
      <c r="F5">
        <v>581920</v>
      </c>
      <c r="G5">
        <v>856460</v>
      </c>
      <c r="H5">
        <v>2722700</v>
      </c>
      <c r="I5">
        <v>953610</v>
      </c>
      <c r="J5">
        <v>676700</v>
      </c>
      <c r="K5">
        <v>99644</v>
      </c>
      <c r="L5">
        <v>38135</v>
      </c>
      <c r="M5">
        <v>40064</v>
      </c>
      <c r="N5">
        <v>269770</v>
      </c>
      <c r="O5">
        <v>205210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8" spans="1:21" x14ac:dyDescent="0.25">
      <c r="A8" t="s">
        <v>37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</row>
    <row r="9" spans="1:21" x14ac:dyDescent="0.25">
      <c r="A9" t="s">
        <v>38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</row>
    <row r="10" spans="1:21" x14ac:dyDescent="0.25">
      <c r="B10">
        <v>366080.52236559999</v>
      </c>
      <c r="C10">
        <v>3672845.7826640001</v>
      </c>
      <c r="D10">
        <v>4444550.5580320004</v>
      </c>
      <c r="E10">
        <v>10122783.12916</v>
      </c>
      <c r="F10">
        <v>27492081.640240002</v>
      </c>
      <c r="G10">
        <v>36937583.325199999</v>
      </c>
      <c r="H10">
        <v>147192665.30464</v>
      </c>
      <c r="I10">
        <v>79263316.806480005</v>
      </c>
      <c r="J10">
        <v>156514592.83136001</v>
      </c>
      <c r="K10">
        <v>84524724.23616001</v>
      </c>
      <c r="L10">
        <v>287705.98892800004</v>
      </c>
      <c r="M10">
        <v>307319.42583840003</v>
      </c>
      <c r="N10">
        <v>2116128.245656</v>
      </c>
      <c r="O10">
        <v>1700253.674656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 t="s">
        <v>39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Introduction</vt:lpstr>
      <vt:lpstr>Input_Data</vt:lpstr>
      <vt:lpstr>Scenario_Gen</vt:lpstr>
      <vt:lpstr>gas_type</vt:lpstr>
      <vt:lpstr>LUs</vt:lpstr>
      <vt:lpstr>Tranches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Scott Rutherford</dc:creator>
  <cp:lastModifiedBy>Jeff Scott Rutherford</cp:lastModifiedBy>
  <dcterms:created xsi:type="dcterms:W3CDTF">2019-10-10T02:31:52Z</dcterms:created>
  <dcterms:modified xsi:type="dcterms:W3CDTF">2020-08-04T20:49:35Z</dcterms:modified>
</cp:coreProperties>
</file>