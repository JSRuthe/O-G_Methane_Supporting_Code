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3\Dropbox\Doctoral\Projects\Research Projects\manuscripts\2_BU_paper\3_Analysis\4_OPGEE_Modelling\a_Scenario_Generation\5c_OPGEE rows\post revision modification v6\"/>
    </mc:Choice>
  </mc:AlternateContent>
  <xr:revisionPtr revIDLastSave="0" documentId="13_ncr:1_{738F3307-9D3C-4249-9DC6-19969A3AB3EC}" xr6:coauthVersionLast="46" xr6:coauthVersionMax="46" xr10:uidLastSave="{00000000-0000-0000-0000-000000000000}"/>
  <bookViews>
    <workbookView xWindow="34305" yWindow="1950" windowWidth="14400" windowHeight="7845" activeTab="2" xr2:uid="{00000000-000D-0000-FFFF-FFFF00000000}"/>
  </bookViews>
  <sheets>
    <sheet name="Introduction" sheetId="3" r:id="rId1"/>
    <sheet name="Input_Data" sheetId="1" r:id="rId2"/>
    <sheet name="Scenario_Gen" sheetId="2" r:id="rId3"/>
  </sheets>
  <definedNames>
    <definedName name="data_year">Input_Data!#REF!</definedName>
    <definedName name="gas_type">Input_Data!$B$6</definedName>
    <definedName name="LUs">Input_Data!$B$12</definedName>
    <definedName name="sample_size">Input_Data!#REF!</definedName>
    <definedName name="Tranches">Input_Data!$B$11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" i="1" l="1"/>
</calcChain>
</file>

<file path=xl/sharedStrings.xml><?xml version="1.0" encoding="utf-8"?>
<sst xmlns="http://schemas.openxmlformats.org/spreadsheetml/2006/main" count="67" uniqueCount="44">
  <si>
    <t>INPUT DATA</t>
  </si>
  <si>
    <t>Realizations</t>
  </si>
  <si>
    <t>Fuel type</t>
  </si>
  <si>
    <t>1 = gas, 2 = oil</t>
  </si>
  <si>
    <t>Representation</t>
  </si>
  <si>
    <t>1 = rate, 2 = mass flux</t>
  </si>
  <si>
    <t>TRANCHE DATA</t>
  </si>
  <si>
    <t>Total Tranches</t>
  </si>
  <si>
    <t>Total LU</t>
  </si>
  <si>
    <t>Bin</t>
  </si>
  <si>
    <t>Wells</t>
  </si>
  <si>
    <t>Average Production (Mscf/wellday)</t>
  </si>
  <si>
    <t>Total Production (Mscf/day)</t>
  </si>
  <si>
    <t>Oil (2015 data)</t>
  </si>
  <si>
    <t>COMPLETION DATA</t>
  </si>
  <si>
    <t>Gas</t>
  </si>
  <si>
    <t>#</t>
  </si>
  <si>
    <t>Type</t>
  </si>
  <si>
    <t>Frac</t>
  </si>
  <si>
    <t>HF</t>
  </si>
  <si>
    <t>RECs</t>
  </si>
  <si>
    <t>Flaring</t>
  </si>
  <si>
    <t>Non-HF / vented</t>
  </si>
  <si>
    <t>Non-HF / flared</t>
  </si>
  <si>
    <t>HF / Non-REC / Venting</t>
  </si>
  <si>
    <t>HF / Non-REC / Flaring</t>
  </si>
  <si>
    <t>HF / REC / Venting</t>
  </si>
  <si>
    <t>HF / REC / Flaring</t>
  </si>
  <si>
    <t>LU DATA</t>
  </si>
  <si>
    <t>plunger</t>
  </si>
  <si>
    <t>none</t>
  </si>
  <si>
    <t>no plunger</t>
  </si>
  <si>
    <t>Total oil production [bbl/day]</t>
  </si>
  <si>
    <t>prod kg</t>
  </si>
  <si>
    <t>prod scf</t>
  </si>
  <si>
    <t>wells</t>
  </si>
  <si>
    <t>prod bbl</t>
  </si>
  <si>
    <t>k</t>
  </si>
  <si>
    <t>i</t>
  </si>
  <si>
    <t>Mscf</t>
  </si>
  <si>
    <t>Gas (2015 data) First ten are dry gas, second ten are associated gas</t>
  </si>
  <si>
    <t>(BASED ON 2020 GHGI)</t>
  </si>
  <si>
    <t>fraction of wells flaring</t>
  </si>
  <si>
    <t>Count of flare stacks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</si>
</sst>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0" xfId="0" applyFill="1" applyBorder="1"/>
    <xf numFmtId="0" fontId="0" fillId="2" borderId="5" xfId="0" applyFill="1" applyBorder="1"/>
    <xf numFmtId="0" fontId="1" fillId="2" borderId="6" xfId="0" applyFont="1" applyFill="1" applyBorder="1"/>
    <xf numFmtId="0" fontId="1" fillId="3" borderId="7" xfId="0" applyFont="1" applyFill="1" applyBorder="1"/>
    <xf numFmtId="0" fontId="1" fillId="2" borderId="8" xfId="0" applyFont="1" applyFill="1" applyBorder="1"/>
    <xf numFmtId="0" fontId="1" fillId="3" borderId="9" xfId="0" applyFont="1" applyFill="1" applyBorder="1"/>
    <xf numFmtId="1" fontId="0" fillId="2" borderId="0" xfId="0" applyNumberFormat="1" applyFill="1"/>
    <xf numFmtId="0" fontId="3" fillId="0" borderId="0" xfId="0" applyFont="1"/>
    <xf numFmtId="0" fontId="0" fillId="2" borderId="10" xfId="0" applyFill="1" applyBorder="1"/>
    <xf numFmtId="0" fontId="0" fillId="0" borderId="10" xfId="0" applyFill="1" applyBorder="1"/>
    <xf numFmtId="0" fontId="0" fillId="2" borderId="10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</xdr:row>
      <xdr:rowOff>19050</xdr:rowOff>
    </xdr:from>
    <xdr:to>
      <xdr:col>8</xdr:col>
      <xdr:colOff>485775</xdr:colOff>
      <xdr:row>26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81025" y="209550"/>
          <a:ext cx="4781550" cy="483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worksheet</a:t>
          </a:r>
          <a:r>
            <a:rPr lang="en-US" sz="1100" baseline="0"/>
            <a:t> takes outputs from the "di_strubbing" Matlab file, in the form of well and production tranche data, and produces columns for use in OPGEE.</a:t>
          </a:r>
        </a:p>
        <a:p>
          <a:endParaRPr lang="en-US" sz="1100" baseline="0"/>
        </a:p>
        <a:p>
          <a:r>
            <a:rPr lang="en-US" sz="1100" baseline="0"/>
            <a:t>Because OPGEE treats well liquids unloadings based on type, this spreadsheet macro takes each tranche from the di_scrubbing Matlab code and divides it into 3 separate columns based on the proportion of wells with different liquids unloadings techniques.</a:t>
          </a:r>
        </a:p>
        <a:p>
          <a:endParaRPr lang="en-US" sz="1100" baseline="0"/>
        </a:p>
        <a:p>
          <a:r>
            <a:rPr lang="en-US" sz="1100" b="1" baseline="0"/>
            <a:t>Instructions:</a:t>
          </a:r>
        </a:p>
        <a:p>
          <a:endParaRPr lang="en-US" sz="1100" baseline="0"/>
        </a:p>
        <a:p>
          <a:r>
            <a:rPr lang="en-US" sz="1100" baseline="0"/>
            <a:t>Toggle "Fuel type" to produce rows for either gas producing wells or oil producing wells</a:t>
          </a:r>
        </a:p>
        <a:p>
          <a:endParaRPr lang="en-US" sz="1100" baseline="0"/>
        </a:p>
        <a:p>
          <a:r>
            <a:rPr lang="en-US" sz="1100" baseline="0"/>
            <a:t>For gas producing wells set "Total LU" = 3</a:t>
          </a:r>
        </a:p>
        <a:p>
          <a:r>
            <a:rPr lang="en-US" sz="1100" baseline="0"/>
            <a:t>For oil producing wells set "Total LU" = 1</a:t>
          </a:r>
        </a:p>
        <a:p>
          <a:endParaRPr lang="en-US" sz="1100" baseline="0"/>
        </a:p>
        <a:p>
          <a:r>
            <a:rPr lang="en-US" sz="1100" baseline="0"/>
            <a:t>Inputs (copy and paste from di_scrubbing.m)</a:t>
          </a:r>
        </a:p>
        <a:p>
          <a:r>
            <a:rPr lang="en-US" sz="1100" baseline="0"/>
            <a:t>- gasdry_bins_v2015_no_offshore.csv</a:t>
          </a:r>
        </a:p>
        <a:p>
          <a:r>
            <a:rPr lang="en-US" sz="1100" baseline="0"/>
            <a:t>- gasassoc_bins_v2015_no_offshore.csv</a:t>
          </a:r>
        </a:p>
        <a:p>
          <a:r>
            <a:rPr lang="en-US" sz="1100" baseline="0"/>
            <a:t>- oil_bins_v2015_no_offshore.csv</a:t>
          </a:r>
        </a:p>
        <a:p>
          <a:r>
            <a:rPr lang="en-US" sz="1100" baseline="0"/>
            <a:t>- oilwet_bins_v2015_no_offshore.csv</a:t>
          </a:r>
        </a:p>
        <a:p>
          <a:endParaRPr lang="en-US" sz="1100" baseline="0"/>
        </a:p>
        <a:p>
          <a:r>
            <a:rPr lang="en-US" sz="1100" baseline="0"/>
            <a:t>Outputs</a:t>
          </a:r>
        </a:p>
        <a:p>
          <a:r>
            <a:rPr lang="en-US" sz="1100" baseline="0"/>
            <a:t>- Columns for input into OPGEE  (can't directly copy and paste, some edits to row spacing required)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7</xdr:row>
          <xdr:rowOff>0</xdr:rowOff>
        </xdr:from>
        <xdr:to>
          <xdr:col>13</xdr:col>
          <xdr:colOff>133350</xdr:colOff>
          <xdr:row>8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I36" sqref="I36"/>
    </sheetView>
  </sheetViews>
  <sheetFormatPr defaultColWidth="9.1796875" defaultRowHeight="14.5" x14ac:dyDescent="0.35"/>
  <cols>
    <col min="1" max="16384" width="9.179687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54"/>
  <sheetViews>
    <sheetView zoomScale="70" zoomScaleNormal="70" workbookViewId="0">
      <selection activeCell="G21" sqref="G21"/>
    </sheetView>
  </sheetViews>
  <sheetFormatPr defaultColWidth="9.1796875" defaultRowHeight="14.5" x14ac:dyDescent="0.35"/>
  <cols>
    <col min="1" max="1" width="17.81640625" style="1" customWidth="1"/>
    <col min="2" max="2" width="20.54296875" style="1" customWidth="1"/>
    <col min="3" max="3" width="17.7265625" style="1" customWidth="1"/>
    <col min="4" max="4" width="14.453125" style="1" customWidth="1"/>
    <col min="5" max="8" width="9.1796875" style="1"/>
    <col min="9" max="12" width="16.7265625" style="1" customWidth="1"/>
    <col min="13" max="16" width="9.1796875" style="1"/>
    <col min="17" max="17" width="14.81640625" style="1" bestFit="1" customWidth="1"/>
    <col min="18" max="16384" width="9.1796875" style="1"/>
  </cols>
  <sheetData>
    <row r="1" spans="1:13" ht="15" thickBot="1" x14ac:dyDescent="0.4"/>
    <row r="2" spans="1:13" s="3" customFormat="1" ht="15" thickBot="1" x14ac:dyDescent="0.4">
      <c r="A2" s="2" t="s">
        <v>0</v>
      </c>
    </row>
    <row r="4" spans="1:13" ht="15" thickBot="1" x14ac:dyDescent="0.4"/>
    <row r="5" spans="1:13" ht="15" thickBot="1" x14ac:dyDescent="0.4">
      <c r="A5" s="4" t="s">
        <v>1</v>
      </c>
      <c r="B5" s="5">
        <v>2</v>
      </c>
      <c r="C5" s="6"/>
      <c r="D5" s="6"/>
      <c r="E5" s="6"/>
      <c r="F5" s="6"/>
      <c r="M5" s="6"/>
    </row>
    <row r="6" spans="1:13" ht="15" thickBot="1" x14ac:dyDescent="0.4">
      <c r="A6" s="4" t="s">
        <v>2</v>
      </c>
      <c r="B6" s="5">
        <v>1</v>
      </c>
      <c r="C6" s="6" t="s">
        <v>3</v>
      </c>
      <c r="D6" s="7"/>
      <c r="E6" s="6"/>
      <c r="F6" s="6"/>
      <c r="M6" s="6"/>
    </row>
    <row r="7" spans="1:13" ht="15" thickBot="1" x14ac:dyDescent="0.4">
      <c r="A7" s="4" t="s">
        <v>4</v>
      </c>
      <c r="B7" s="5">
        <v>2</v>
      </c>
      <c r="C7" s="6" t="s">
        <v>5</v>
      </c>
      <c r="D7" s="6"/>
      <c r="E7" s="6"/>
      <c r="F7" s="6"/>
      <c r="M7" s="6"/>
    </row>
    <row r="8" spans="1:13" ht="15" thickBot="1" x14ac:dyDescent="0.4"/>
    <row r="9" spans="1:13" s="3" customFormat="1" ht="15" thickBot="1" x14ac:dyDescent="0.4">
      <c r="A9" s="2" t="s">
        <v>6</v>
      </c>
    </row>
    <row r="10" spans="1:13" ht="15" thickBot="1" x14ac:dyDescent="0.4"/>
    <row r="11" spans="1:13" x14ac:dyDescent="0.35">
      <c r="A11" s="8" t="s">
        <v>7</v>
      </c>
      <c r="B11" s="9">
        <v>20</v>
      </c>
    </row>
    <row r="12" spans="1:13" ht="15" thickBot="1" x14ac:dyDescent="0.4">
      <c r="A12" s="10" t="s">
        <v>8</v>
      </c>
      <c r="B12" s="11">
        <v>3</v>
      </c>
    </row>
    <row r="14" spans="1:13" x14ac:dyDescent="0.35">
      <c r="A14" s="1" t="s">
        <v>40</v>
      </c>
      <c r="I14" s="1" t="s">
        <v>13</v>
      </c>
    </row>
    <row r="15" spans="1:13" x14ac:dyDescent="0.35">
      <c r="A15" s="14" t="s">
        <v>9</v>
      </c>
      <c r="B15" s="14" t="s">
        <v>10</v>
      </c>
      <c r="C15" s="14" t="s">
        <v>11</v>
      </c>
      <c r="D15" s="14" t="s">
        <v>12</v>
      </c>
      <c r="E15" s="14" t="s">
        <v>32</v>
      </c>
      <c r="F15" s="1" t="s">
        <v>43</v>
      </c>
      <c r="I15" s="14" t="s">
        <v>9</v>
      </c>
      <c r="J15" s="14" t="s">
        <v>10</v>
      </c>
      <c r="K15" s="14" t="s">
        <v>11</v>
      </c>
      <c r="L15" s="14" t="s">
        <v>12</v>
      </c>
      <c r="M15" s="15" t="s">
        <v>32</v>
      </c>
    </row>
    <row r="16" spans="1:13" x14ac:dyDescent="0.35">
      <c r="A16" s="14">
        <v>1</v>
      </c>
      <c r="B16" s="14">
        <v>38225</v>
      </c>
      <c r="C16" s="14">
        <v>0.39412000000000003</v>
      </c>
      <c r="D16" s="14">
        <v>15065</v>
      </c>
      <c r="E16" s="14">
        <v>3.7843000000000002E-2</v>
      </c>
      <c r="F16" s="1">
        <v>8326</v>
      </c>
      <c r="I16" s="14">
        <v>1</v>
      </c>
      <c r="J16" s="14">
        <v>65606</v>
      </c>
      <c r="K16" s="14">
        <v>0.35221000000000002</v>
      </c>
      <c r="L16" s="14">
        <v>23107</v>
      </c>
      <c r="M16" s="14">
        <v>192790</v>
      </c>
    </row>
    <row r="17" spans="1:13" x14ac:dyDescent="0.35">
      <c r="A17" s="14">
        <v>2</v>
      </c>
      <c r="B17" s="14">
        <v>65138</v>
      </c>
      <c r="C17" s="14">
        <v>2.7684000000000002</v>
      </c>
      <c r="D17" s="14">
        <v>180330</v>
      </c>
      <c r="E17" s="14">
        <v>6.4487000000000003E-2</v>
      </c>
      <c r="F17" s="1">
        <v>2975</v>
      </c>
      <c r="I17" s="14">
        <v>2</v>
      </c>
      <c r="J17" s="14">
        <v>89163</v>
      </c>
      <c r="K17" s="14">
        <v>2.6000999999999999</v>
      </c>
      <c r="L17" s="14">
        <v>231830</v>
      </c>
      <c r="M17" s="14">
        <v>425170</v>
      </c>
    </row>
    <row r="18" spans="1:13" x14ac:dyDescent="0.35">
      <c r="A18" s="14">
        <v>3</v>
      </c>
      <c r="B18" s="14">
        <v>43154</v>
      </c>
      <c r="C18" s="14">
        <v>7.2584999999999997</v>
      </c>
      <c r="D18" s="14">
        <v>313240</v>
      </c>
      <c r="E18" s="14">
        <v>4.2722000000000003E-2</v>
      </c>
      <c r="F18" s="1">
        <v>1426</v>
      </c>
      <c r="I18" s="14">
        <v>3</v>
      </c>
      <c r="J18" s="14">
        <v>38948</v>
      </c>
      <c r="K18" s="14">
        <v>7.2027999999999999</v>
      </c>
      <c r="L18" s="14">
        <v>280540</v>
      </c>
      <c r="M18" s="14">
        <v>208860</v>
      </c>
    </row>
    <row r="19" spans="1:13" x14ac:dyDescent="0.35">
      <c r="A19" s="14">
        <v>4</v>
      </c>
      <c r="B19" s="14">
        <v>44523</v>
      </c>
      <c r="C19" s="14">
        <v>14.423999999999999</v>
      </c>
      <c r="D19" s="14">
        <v>642190</v>
      </c>
      <c r="E19" s="14">
        <v>4.4077999999999999E-2</v>
      </c>
      <c r="F19" s="1">
        <v>386</v>
      </c>
      <c r="I19" s="14">
        <v>4</v>
      </c>
      <c r="J19" s="14">
        <v>44410</v>
      </c>
      <c r="K19" s="14">
        <v>14.388</v>
      </c>
      <c r="L19" s="14">
        <v>638950</v>
      </c>
      <c r="M19" s="14">
        <v>294520</v>
      </c>
    </row>
    <row r="20" spans="1:13" x14ac:dyDescent="0.35">
      <c r="A20" s="14">
        <v>5</v>
      </c>
      <c r="B20" s="14">
        <v>57148</v>
      </c>
      <c r="C20" s="14">
        <v>32.389000000000003</v>
      </c>
      <c r="D20" s="14">
        <v>1851000</v>
      </c>
      <c r="E20" s="14">
        <v>5.6577000000000002E-2</v>
      </c>
      <c r="F20" s="1">
        <v>154</v>
      </c>
      <c r="I20" s="14">
        <v>5</v>
      </c>
      <c r="J20" s="14">
        <v>54343</v>
      </c>
      <c r="K20" s="14">
        <v>31.931999999999999</v>
      </c>
      <c r="L20" s="14">
        <v>1735300</v>
      </c>
      <c r="M20" s="14">
        <v>581920</v>
      </c>
    </row>
    <row r="21" spans="1:13" x14ac:dyDescent="0.35">
      <c r="A21" s="14">
        <v>6</v>
      </c>
      <c r="B21" s="14">
        <v>27868</v>
      </c>
      <c r="C21" s="14">
        <v>69.548000000000002</v>
      </c>
      <c r="D21" s="14">
        <v>1938200</v>
      </c>
      <c r="E21" s="14">
        <v>2.7588999999999999E-2</v>
      </c>
      <c r="F21" s="1">
        <v>30</v>
      </c>
      <c r="I21" s="14">
        <v>6</v>
      </c>
      <c r="J21" s="14">
        <v>32775</v>
      </c>
      <c r="K21" s="14">
        <v>71.137</v>
      </c>
      <c r="L21" s="14">
        <v>2331500</v>
      </c>
      <c r="M21" s="14">
        <v>856460</v>
      </c>
    </row>
    <row r="22" spans="1:13" x14ac:dyDescent="0.35">
      <c r="A22" s="14">
        <v>7</v>
      </c>
      <c r="B22" s="14">
        <v>31429</v>
      </c>
      <c r="C22" s="14">
        <v>228.87</v>
      </c>
      <c r="D22" s="14">
        <v>7193200</v>
      </c>
      <c r="E22" s="14">
        <v>3.1115E-2</v>
      </c>
      <c r="F22" s="1">
        <v>20</v>
      </c>
      <c r="I22" s="14">
        <v>7</v>
      </c>
      <c r="J22" s="14">
        <v>42848</v>
      </c>
      <c r="K22" s="14">
        <v>216.83</v>
      </c>
      <c r="L22" s="14">
        <v>9290800</v>
      </c>
      <c r="M22" s="14">
        <v>2722700</v>
      </c>
    </row>
    <row r="23" spans="1:13" x14ac:dyDescent="0.35">
      <c r="A23" s="14">
        <v>8</v>
      </c>
      <c r="B23" s="14">
        <v>6727</v>
      </c>
      <c r="C23" s="14">
        <v>690.34</v>
      </c>
      <c r="D23" s="14">
        <v>4643900</v>
      </c>
      <c r="E23" s="14">
        <v>6.6597000000000002E-3</v>
      </c>
      <c r="F23" s="1">
        <v>3</v>
      </c>
      <c r="I23" s="14">
        <v>8</v>
      </c>
      <c r="J23" s="14">
        <v>7280</v>
      </c>
      <c r="K23" s="14">
        <v>687.24</v>
      </c>
      <c r="L23" s="14">
        <v>5003100</v>
      </c>
      <c r="M23" s="14">
        <v>953610</v>
      </c>
    </row>
    <row r="24" spans="1:13" x14ac:dyDescent="0.35">
      <c r="A24" s="14">
        <v>9</v>
      </c>
      <c r="B24" s="14">
        <v>5875</v>
      </c>
      <c r="C24" s="14">
        <v>2571.8000000000002</v>
      </c>
      <c r="D24" s="14">
        <v>15109000</v>
      </c>
      <c r="E24" s="14">
        <v>5.8162999999999999E-3</v>
      </c>
      <c r="F24" s="1">
        <v>1</v>
      </c>
      <c r="I24" s="14">
        <v>9</v>
      </c>
      <c r="J24" s="14">
        <v>4464</v>
      </c>
      <c r="K24" s="14">
        <v>2213.1</v>
      </c>
      <c r="L24" s="14">
        <v>9879200</v>
      </c>
      <c r="M24" s="14">
        <v>676700</v>
      </c>
    </row>
    <row r="25" spans="1:13" x14ac:dyDescent="0.35">
      <c r="A25" s="14">
        <v>10</v>
      </c>
      <c r="B25" s="14">
        <v>87</v>
      </c>
      <c r="C25" s="14">
        <v>20103</v>
      </c>
      <c r="D25" s="14">
        <v>1748900</v>
      </c>
      <c r="E25" s="14">
        <v>8.6130000000000004E-5</v>
      </c>
      <c r="F25" s="1">
        <v>0</v>
      </c>
      <c r="I25" s="14">
        <v>10</v>
      </c>
      <c r="J25" s="14">
        <v>348</v>
      </c>
      <c r="K25" s="14">
        <v>15331</v>
      </c>
      <c r="L25" s="14">
        <v>5335200</v>
      </c>
      <c r="M25" s="14">
        <v>99644</v>
      </c>
    </row>
    <row r="26" spans="1:13" x14ac:dyDescent="0.35">
      <c r="A26" s="14">
        <v>11</v>
      </c>
      <c r="B26" s="14">
        <v>400</v>
      </c>
      <c r="C26" s="14">
        <v>0.61421999999999999</v>
      </c>
      <c r="D26" s="14">
        <v>245.69</v>
      </c>
      <c r="E26" s="14">
        <v>1.2047000000000001</v>
      </c>
      <c r="F26" s="1">
        <v>87</v>
      </c>
      <c r="I26" s="14">
        <v>11</v>
      </c>
      <c r="J26" s="14">
        <v>114460</v>
      </c>
      <c r="K26" s="14">
        <v>0.15853999999999999</v>
      </c>
      <c r="L26" s="14">
        <v>18147</v>
      </c>
      <c r="M26" s="14">
        <v>38110</v>
      </c>
    </row>
    <row r="27" spans="1:13" x14ac:dyDescent="0.35">
      <c r="A27" s="14">
        <v>12</v>
      </c>
      <c r="B27" s="14">
        <v>2880</v>
      </c>
      <c r="C27" s="14">
        <v>3.0026999999999999</v>
      </c>
      <c r="D27" s="14">
        <v>8647.7999999999993</v>
      </c>
      <c r="E27" s="14">
        <v>39.106999999999999</v>
      </c>
      <c r="F27" s="1">
        <v>132</v>
      </c>
      <c r="I27" s="14">
        <v>12</v>
      </c>
      <c r="J27" s="14">
        <v>27149</v>
      </c>
      <c r="K27" s="14">
        <v>0.71725000000000005</v>
      </c>
      <c r="L27" s="14">
        <v>19472</v>
      </c>
      <c r="M27" s="14">
        <v>40256</v>
      </c>
    </row>
    <row r="28" spans="1:13" x14ac:dyDescent="0.35">
      <c r="A28" s="14">
        <v>13</v>
      </c>
      <c r="B28" s="14">
        <v>3907</v>
      </c>
      <c r="C28" s="14">
        <v>7.5458999999999996</v>
      </c>
      <c r="D28" s="14">
        <v>29482</v>
      </c>
      <c r="E28" s="14">
        <v>111.4</v>
      </c>
      <c r="F28" s="1">
        <v>129</v>
      </c>
      <c r="I28" s="14">
        <v>13</v>
      </c>
      <c r="J28" s="14">
        <v>45205</v>
      </c>
      <c r="K28" s="14">
        <v>2.9651000000000001</v>
      </c>
      <c r="L28" s="14">
        <v>134040</v>
      </c>
      <c r="M28" s="14">
        <v>270320</v>
      </c>
    </row>
    <row r="29" spans="1:13" x14ac:dyDescent="0.35">
      <c r="A29" s="14">
        <v>14</v>
      </c>
      <c r="B29" s="14">
        <v>9384</v>
      </c>
      <c r="C29" s="14">
        <v>15.228</v>
      </c>
      <c r="D29" s="14">
        <v>142900</v>
      </c>
      <c r="E29" s="14">
        <v>495.86</v>
      </c>
      <c r="F29" s="1">
        <v>81</v>
      </c>
      <c r="I29" s="14">
        <v>14</v>
      </c>
      <c r="J29" s="14">
        <v>4759</v>
      </c>
      <c r="K29" s="14">
        <v>22.24</v>
      </c>
      <c r="L29" s="14">
        <v>105840</v>
      </c>
      <c r="M29" s="14">
        <v>204490</v>
      </c>
    </row>
    <row r="30" spans="1:13" x14ac:dyDescent="0.35">
      <c r="A30" s="14">
        <v>15</v>
      </c>
      <c r="B30" s="14">
        <v>30938</v>
      </c>
      <c r="C30" s="14">
        <v>34.545000000000002</v>
      </c>
      <c r="D30" s="14">
        <v>1068800</v>
      </c>
      <c r="E30" s="14">
        <v>3672.7</v>
      </c>
      <c r="F30" s="1">
        <v>83</v>
      </c>
    </row>
    <row r="31" spans="1:13" x14ac:dyDescent="0.35">
      <c r="A31" s="14">
        <v>16</v>
      </c>
      <c r="B31" s="14">
        <v>29916</v>
      </c>
      <c r="C31" s="14">
        <v>71.081999999999994</v>
      </c>
      <c r="D31" s="14">
        <v>2126500</v>
      </c>
      <c r="E31" s="14">
        <v>6929.3</v>
      </c>
      <c r="F31" s="1">
        <v>32</v>
      </c>
    </row>
    <row r="32" spans="1:13" x14ac:dyDescent="0.35">
      <c r="A32" s="14">
        <v>17</v>
      </c>
      <c r="B32" s="14">
        <v>30031</v>
      </c>
      <c r="C32" s="14">
        <v>197.92</v>
      </c>
      <c r="D32" s="14">
        <v>5943900</v>
      </c>
      <c r="E32" s="14">
        <v>20835</v>
      </c>
      <c r="F32" s="1">
        <v>19</v>
      </c>
    </row>
    <row r="33" spans="1:14" x14ac:dyDescent="0.35">
      <c r="A33" s="14">
        <v>18</v>
      </c>
      <c r="B33" s="14">
        <v>3094</v>
      </c>
      <c r="C33" s="14">
        <v>696.61</v>
      </c>
      <c r="D33" s="14">
        <v>2155300</v>
      </c>
      <c r="E33" s="14">
        <v>8337.1</v>
      </c>
      <c r="F33" s="1">
        <v>1</v>
      </c>
    </row>
    <row r="34" spans="1:14" x14ac:dyDescent="0.35">
      <c r="A34" s="14">
        <v>19</v>
      </c>
      <c r="B34" s="14">
        <v>2684</v>
      </c>
      <c r="C34" s="14">
        <v>2376.6999999999998</v>
      </c>
      <c r="D34" s="14">
        <v>6379100</v>
      </c>
      <c r="E34" s="14">
        <v>19625</v>
      </c>
      <c r="F34" s="1">
        <v>0</v>
      </c>
    </row>
    <row r="35" spans="1:14" x14ac:dyDescent="0.35">
      <c r="A35" s="14">
        <v>20</v>
      </c>
      <c r="B35" s="14">
        <v>22</v>
      </c>
      <c r="C35" s="14">
        <v>15955</v>
      </c>
      <c r="D35" s="14">
        <v>351000</v>
      </c>
      <c r="E35" s="14">
        <v>1133.3</v>
      </c>
      <c r="F35" s="1">
        <v>0</v>
      </c>
    </row>
    <row r="37" spans="1:14" x14ac:dyDescent="0.35">
      <c r="D37" s="12"/>
    </row>
    <row r="38" spans="1:14" x14ac:dyDescent="0.35">
      <c r="A38" s="1" t="s">
        <v>14</v>
      </c>
    </row>
    <row r="39" spans="1:14" x14ac:dyDescent="0.35">
      <c r="A39" s="1" t="s">
        <v>15</v>
      </c>
    </row>
    <row r="41" spans="1:14" x14ac:dyDescent="0.35">
      <c r="A41" s="14" t="s">
        <v>16</v>
      </c>
      <c r="B41" s="14" t="s">
        <v>17</v>
      </c>
      <c r="C41" s="14" t="s">
        <v>18</v>
      </c>
      <c r="D41" s="14" t="s">
        <v>19</v>
      </c>
      <c r="E41" s="14" t="s">
        <v>20</v>
      </c>
      <c r="F41" s="14" t="s">
        <v>21</v>
      </c>
      <c r="I41" s="14" t="s">
        <v>16</v>
      </c>
      <c r="J41" s="14" t="s">
        <v>17</v>
      </c>
      <c r="K41" s="14" t="s">
        <v>18</v>
      </c>
      <c r="L41" s="14" t="s">
        <v>19</v>
      </c>
      <c r="M41" s="14" t="s">
        <v>20</v>
      </c>
      <c r="N41" s="14" t="s">
        <v>21</v>
      </c>
    </row>
    <row r="42" spans="1:14" x14ac:dyDescent="0.35">
      <c r="A42" s="14">
        <v>1</v>
      </c>
      <c r="B42" s="14" t="s">
        <v>22</v>
      </c>
      <c r="C42" s="14">
        <v>0.1</v>
      </c>
      <c r="D42" s="14">
        <v>0</v>
      </c>
      <c r="E42" s="14">
        <v>0</v>
      </c>
      <c r="F42" s="14">
        <v>0</v>
      </c>
      <c r="I42" s="14">
        <v>1</v>
      </c>
      <c r="J42" s="16" t="s">
        <v>22</v>
      </c>
      <c r="K42" s="14">
        <v>0.44</v>
      </c>
      <c r="L42" s="14">
        <v>0</v>
      </c>
      <c r="M42" s="14">
        <v>0</v>
      </c>
      <c r="N42" s="14">
        <v>0</v>
      </c>
    </row>
    <row r="43" spans="1:14" x14ac:dyDescent="0.35">
      <c r="A43" s="14">
        <v>2</v>
      </c>
      <c r="B43" s="14" t="s">
        <v>23</v>
      </c>
      <c r="C43" s="14">
        <v>7.0000000000000007E-2</v>
      </c>
      <c r="D43" s="14">
        <v>0</v>
      </c>
      <c r="E43" s="14">
        <v>0</v>
      </c>
      <c r="F43" s="14">
        <v>1</v>
      </c>
      <c r="I43" s="14">
        <v>2</v>
      </c>
      <c r="J43" s="16" t="s">
        <v>24</v>
      </c>
      <c r="K43" s="14">
        <v>0.01</v>
      </c>
      <c r="L43" s="14">
        <v>1</v>
      </c>
      <c r="M43" s="14">
        <v>0</v>
      </c>
      <c r="N43" s="14">
        <v>0</v>
      </c>
    </row>
    <row r="44" spans="1:14" x14ac:dyDescent="0.35">
      <c r="A44" s="14">
        <v>3</v>
      </c>
      <c r="B44" s="14" t="s">
        <v>24</v>
      </c>
      <c r="C44" s="14">
        <v>0.02</v>
      </c>
      <c r="D44" s="14">
        <v>1</v>
      </c>
      <c r="E44" s="14">
        <v>0</v>
      </c>
      <c r="F44" s="14">
        <v>0</v>
      </c>
      <c r="I44" s="14">
        <v>3</v>
      </c>
      <c r="J44" s="16" t="s">
        <v>25</v>
      </c>
      <c r="K44" s="14">
        <v>7.0000000000000007E-2</v>
      </c>
      <c r="L44" s="14">
        <v>1</v>
      </c>
      <c r="M44" s="14">
        <v>0</v>
      </c>
      <c r="N44" s="14">
        <v>1</v>
      </c>
    </row>
    <row r="45" spans="1:14" x14ac:dyDescent="0.35">
      <c r="A45" s="14">
        <v>4</v>
      </c>
      <c r="B45" s="14" t="s">
        <v>25</v>
      </c>
      <c r="C45" s="14">
        <v>0.04</v>
      </c>
      <c r="D45" s="14">
        <v>1</v>
      </c>
      <c r="E45" s="14">
        <v>0</v>
      </c>
      <c r="F45" s="14">
        <v>1</v>
      </c>
      <c r="I45" s="14">
        <v>4</v>
      </c>
      <c r="J45" s="16" t="s">
        <v>26</v>
      </c>
      <c r="K45" s="14">
        <v>0.23</v>
      </c>
      <c r="L45" s="14">
        <v>1</v>
      </c>
      <c r="M45" s="14">
        <v>1</v>
      </c>
      <c r="N45" s="14">
        <v>0</v>
      </c>
    </row>
    <row r="46" spans="1:14" x14ac:dyDescent="0.35">
      <c r="A46" s="14">
        <v>5</v>
      </c>
      <c r="B46" s="14" t="s">
        <v>26</v>
      </c>
      <c r="C46" s="14">
        <v>0.6</v>
      </c>
      <c r="D46" s="14">
        <v>1</v>
      </c>
      <c r="E46" s="14">
        <v>1</v>
      </c>
      <c r="F46" s="14">
        <v>0</v>
      </c>
      <c r="I46" s="14">
        <v>5</v>
      </c>
      <c r="J46" s="16" t="s">
        <v>27</v>
      </c>
      <c r="K46" s="14">
        <v>0.25</v>
      </c>
      <c r="L46" s="14">
        <v>1</v>
      </c>
      <c r="M46" s="14">
        <v>1</v>
      </c>
      <c r="N46" s="14">
        <v>1</v>
      </c>
    </row>
    <row r="47" spans="1:14" x14ac:dyDescent="0.35">
      <c r="A47" s="14">
        <v>6</v>
      </c>
      <c r="B47" s="14" t="s">
        <v>27</v>
      </c>
      <c r="C47" s="14">
        <v>0.18</v>
      </c>
      <c r="D47" s="14">
        <v>1</v>
      </c>
      <c r="E47" s="14">
        <v>1</v>
      </c>
      <c r="F47" s="14">
        <v>1</v>
      </c>
      <c r="I47" s="6"/>
    </row>
    <row r="48" spans="1:14" x14ac:dyDescent="0.35">
      <c r="I48" s="6"/>
    </row>
    <row r="49" spans="1:11" x14ac:dyDescent="0.35">
      <c r="A49" s="1" t="s">
        <v>28</v>
      </c>
      <c r="B49" s="1" t="s">
        <v>41</v>
      </c>
      <c r="I49" s="6"/>
    </row>
    <row r="51" spans="1:11" x14ac:dyDescent="0.35">
      <c r="A51" s="14" t="s">
        <v>16</v>
      </c>
      <c r="B51" s="14" t="s">
        <v>17</v>
      </c>
      <c r="C51" s="14" t="s">
        <v>18</v>
      </c>
      <c r="I51" s="14" t="s">
        <v>16</v>
      </c>
      <c r="J51" s="14" t="s">
        <v>17</v>
      </c>
      <c r="K51" s="14" t="s">
        <v>18</v>
      </c>
    </row>
    <row r="52" spans="1:11" x14ac:dyDescent="0.35">
      <c r="A52" s="14">
        <v>1</v>
      </c>
      <c r="B52" s="14" t="s">
        <v>29</v>
      </c>
      <c r="C52" s="14">
        <v>0.10358305</v>
      </c>
      <c r="I52" s="14">
        <v>1</v>
      </c>
      <c r="J52" s="14" t="s">
        <v>30</v>
      </c>
      <c r="K52" s="14">
        <v>1</v>
      </c>
    </row>
    <row r="53" spans="1:11" x14ac:dyDescent="0.35">
      <c r="A53" s="14">
        <v>2</v>
      </c>
      <c r="B53" s="14" t="s">
        <v>31</v>
      </c>
      <c r="C53" s="14">
        <v>7.1255120000000005E-2</v>
      </c>
    </row>
    <row r="54" spans="1:11" x14ac:dyDescent="0.35">
      <c r="A54" s="14">
        <v>3</v>
      </c>
      <c r="B54" s="14" t="s">
        <v>30</v>
      </c>
      <c r="C54" s="14">
        <f>1-C53-C52</f>
        <v>0.82516182999999999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11</xdr:col>
                    <xdr:colOff>133350</xdr:colOff>
                    <xdr:row>7</xdr:row>
                    <xdr:rowOff>0</xdr:rowOff>
                  </from>
                  <to>
                    <xdr:col>13</xdr:col>
                    <xdr:colOff>133350</xdr:colOff>
                    <xdr:row>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I11"/>
  <sheetViews>
    <sheetView tabSelected="1" workbookViewId="0">
      <pane xSplit="1" topLeftCell="B1" activePane="topRight" state="frozen"/>
      <selection pane="topRight" activeCell="H19" sqref="H19"/>
    </sheetView>
  </sheetViews>
  <sheetFormatPr defaultRowHeight="14.5" x14ac:dyDescent="0.35"/>
  <cols>
    <col min="1" max="1" width="21.453125" customWidth="1"/>
    <col min="2" max="8" width="9.26953125" bestFit="1" customWidth="1"/>
    <col min="9" max="9" width="11.1796875" bestFit="1" customWidth="1"/>
    <col min="10" max="27" width="9.26953125" bestFit="1" customWidth="1"/>
    <col min="28" max="28" width="12" bestFit="1" customWidth="1"/>
    <col min="29" max="61" width="9.26953125" bestFit="1" customWidth="1"/>
  </cols>
  <sheetData>
    <row r="2" spans="1:61" s="13" customFormat="1" x14ac:dyDescent="0.35">
      <c r="A2" s="13" t="s">
        <v>33</v>
      </c>
      <c r="B2" s="13">
        <v>24722.414796023946</v>
      </c>
      <c r="C2" s="13">
        <v>17006.630264125859</v>
      </c>
      <c r="D2" s="13">
        <v>196943.35159185019</v>
      </c>
      <c r="E2" s="13">
        <v>295930.50515545957</v>
      </c>
      <c r="F2" s="13">
        <v>203571.56558445509</v>
      </c>
      <c r="G2" s="13">
        <v>2357437.4107240853</v>
      </c>
      <c r="H2" s="13">
        <v>514042.43018297653</v>
      </c>
      <c r="I2" s="13">
        <v>353611.47453931527</v>
      </c>
      <c r="J2" s="13">
        <v>4094957.5474697081</v>
      </c>
      <c r="K2" s="13">
        <v>1053865.7522640969</v>
      </c>
      <c r="L2" s="13">
        <v>724957.70921466884</v>
      </c>
      <c r="M2" s="13">
        <v>8395290.471873235</v>
      </c>
      <c r="N2" s="13">
        <v>3037583.1256183428</v>
      </c>
      <c r="O2" s="13">
        <v>2089563.3998604028</v>
      </c>
      <c r="P2" s="13">
        <v>24197951.795321256</v>
      </c>
      <c r="Q2" s="13">
        <v>3180682.6656258628</v>
      </c>
      <c r="R2" s="13">
        <v>2188002.0430088779</v>
      </c>
      <c r="S2" s="13">
        <v>25337909.329925261</v>
      </c>
      <c r="T2" s="13">
        <v>11804399.210803814</v>
      </c>
      <c r="U2" s="13">
        <v>8120284.9529313063</v>
      </c>
      <c r="V2" s="13">
        <v>94036038.278824881</v>
      </c>
      <c r="W2" s="13">
        <v>7620871.0302858027</v>
      </c>
      <c r="X2" s="13">
        <v>5242422.1894174628</v>
      </c>
      <c r="Y2" s="13">
        <v>60709275.171416737</v>
      </c>
      <c r="Z2" s="13">
        <v>24794620.985936001</v>
      </c>
      <c r="AA2" s="13">
        <v>17056301.139109038</v>
      </c>
      <c r="AB2" s="13">
        <v>197518559.52215499</v>
      </c>
      <c r="AC2" s="13">
        <v>2870031.9440269689</v>
      </c>
      <c r="AD2" s="13">
        <v>1974304.3922289889</v>
      </c>
      <c r="AE2" s="13">
        <v>22863207.938864045</v>
      </c>
      <c r="AF2" s="13">
        <v>403.18951817027045</v>
      </c>
      <c r="AG2" s="13">
        <v>277.35539260491754</v>
      </c>
      <c r="AH2" s="13">
        <v>3211.8826453768124</v>
      </c>
      <c r="AI2" s="13">
        <v>14191.470207305401</v>
      </c>
      <c r="AJ2" s="13">
        <v>9762.3589245341918</v>
      </c>
      <c r="AK2" s="13">
        <v>113051.8895384004</v>
      </c>
      <c r="AL2" s="13">
        <v>48381.429340615869</v>
      </c>
      <c r="AM2" s="13">
        <v>33281.744005772227</v>
      </c>
      <c r="AN2" s="13">
        <v>385415.45911921194</v>
      </c>
      <c r="AO2" s="13">
        <v>234506.01223709411</v>
      </c>
      <c r="AP2" s="13">
        <v>161317.45534308566</v>
      </c>
      <c r="AQ2" s="13">
        <v>1868118.4827398206</v>
      </c>
      <c r="AR2" s="13">
        <v>1753953.9949545567</v>
      </c>
      <c r="AS2" s="13">
        <v>1206550.7086822249</v>
      </c>
      <c r="AT2" s="13">
        <v>13972323.543403218</v>
      </c>
      <c r="AU2" s="13">
        <v>3489692.3374540275</v>
      </c>
      <c r="AV2" s="13">
        <v>2400570.8102664216</v>
      </c>
      <c r="AW2" s="13">
        <v>27799537.81347955</v>
      </c>
      <c r="AX2" s="13">
        <v>9754235.7322327755</v>
      </c>
      <c r="AY2" s="13">
        <v>6709970.7684658282</v>
      </c>
      <c r="AZ2" s="13">
        <v>77704054.930421397</v>
      </c>
      <c r="BA2" s="13">
        <v>3536954.5708510065</v>
      </c>
      <c r="BB2" s="13">
        <v>2433082.6557099544</v>
      </c>
      <c r="BC2" s="13">
        <v>28176037.549679037</v>
      </c>
      <c r="BD2" s="13">
        <v>10468420.592453791</v>
      </c>
      <c r="BE2" s="13">
        <v>7201260.8773903269</v>
      </c>
      <c r="BF2" s="13">
        <v>83393384.277435884</v>
      </c>
      <c r="BG2" s="13">
        <v>576008.46952568251</v>
      </c>
      <c r="BH2" s="13">
        <v>396238.11634305859</v>
      </c>
      <c r="BI2" s="13">
        <v>4588590.5349312592</v>
      </c>
    </row>
    <row r="3" spans="1:61" x14ac:dyDescent="0.35">
      <c r="A3" t="s">
        <v>34</v>
      </c>
      <c r="B3">
        <v>1560478.6482499999</v>
      </c>
      <c r="C3">
        <v>1073458.3828</v>
      </c>
      <c r="D3">
        <v>12431062.96895</v>
      </c>
      <c r="E3">
        <v>18679131.406500001</v>
      </c>
      <c r="F3">
        <v>12849435.789600002</v>
      </c>
      <c r="G3">
        <v>148801432.8039</v>
      </c>
      <c r="H3">
        <v>32446354.581999999</v>
      </c>
      <c r="I3">
        <v>22319953.788800001</v>
      </c>
      <c r="J3">
        <v>258473691.62919998</v>
      </c>
      <c r="K3">
        <v>66519998.879499994</v>
      </c>
      <c r="L3">
        <v>45759325.512800001</v>
      </c>
      <c r="M3">
        <v>529910675.60769999</v>
      </c>
      <c r="N3">
        <v>191732225.54999998</v>
      </c>
      <c r="O3">
        <v>131893227.12</v>
      </c>
      <c r="P3">
        <v>1527374547.3299999</v>
      </c>
      <c r="Q3">
        <v>200764667.50999999</v>
      </c>
      <c r="R3">
        <v>138106673.58400002</v>
      </c>
      <c r="S3">
        <v>1599328658.9059999</v>
      </c>
      <c r="T3">
        <v>745093595.25999999</v>
      </c>
      <c r="U3">
        <v>512552329.18400002</v>
      </c>
      <c r="V3">
        <v>5935554075.5559998</v>
      </c>
      <c r="W3">
        <v>481029325.89499998</v>
      </c>
      <c r="X3">
        <v>330901651.76800001</v>
      </c>
      <c r="Y3">
        <v>3831969022.3369999</v>
      </c>
      <c r="Z3">
        <v>1565036302.45</v>
      </c>
      <c r="AA3">
        <v>1076593608.0800002</v>
      </c>
      <c r="AB3">
        <v>12467370089.469999</v>
      </c>
      <c r="AC3">
        <v>181156396.14499998</v>
      </c>
      <c r="AD3">
        <v>124618079.36800002</v>
      </c>
      <c r="AE3">
        <v>1443125524.487</v>
      </c>
      <c r="AF3">
        <v>25449.319554499998</v>
      </c>
      <c r="AG3">
        <v>17506.670432800001</v>
      </c>
      <c r="AH3">
        <v>202734.01001269999</v>
      </c>
      <c r="AI3">
        <v>895765.49978999991</v>
      </c>
      <c r="AJ3">
        <v>616200.02673600009</v>
      </c>
      <c r="AK3">
        <v>7135834.4734739996</v>
      </c>
      <c r="AL3">
        <v>3053835.4800999998</v>
      </c>
      <c r="AM3">
        <v>2100743.44784</v>
      </c>
      <c r="AN3">
        <v>24327421.07206</v>
      </c>
      <c r="AO3">
        <v>14802017.844999999</v>
      </c>
      <c r="AP3">
        <v>10182356.648</v>
      </c>
      <c r="AQ3">
        <v>117915625.507</v>
      </c>
      <c r="AR3">
        <v>110709563.83999999</v>
      </c>
      <c r="AS3">
        <v>76157472.256000012</v>
      </c>
      <c r="AT3">
        <v>881932963.90399992</v>
      </c>
      <c r="AU3">
        <v>220269355.82499999</v>
      </c>
      <c r="AV3">
        <v>151524012.68000001</v>
      </c>
      <c r="AW3">
        <v>1754706631.4949999</v>
      </c>
      <c r="AX3">
        <v>615687290.89499998</v>
      </c>
      <c r="AY3">
        <v>423533307.76800001</v>
      </c>
      <c r="AZ3">
        <v>4904679401.3369999</v>
      </c>
      <c r="BA3">
        <v>223252547.66499999</v>
      </c>
      <c r="BB3">
        <v>153576160.13600001</v>
      </c>
      <c r="BC3">
        <v>1778471292.1989999</v>
      </c>
      <c r="BD3">
        <v>660766634.255</v>
      </c>
      <c r="BE3">
        <v>454543535.99200004</v>
      </c>
      <c r="BF3">
        <v>5263789829.7530003</v>
      </c>
      <c r="BG3">
        <v>36357650.549999997</v>
      </c>
      <c r="BH3">
        <v>25010547.120000001</v>
      </c>
      <c r="BI3">
        <v>289631802.32999998</v>
      </c>
    </row>
    <row r="4" spans="1:61" x14ac:dyDescent="0.35">
      <c r="A4" t="s">
        <v>35</v>
      </c>
      <c r="B4">
        <v>3960</v>
      </c>
      <c r="C4">
        <v>2724</v>
      </c>
      <c r="D4">
        <v>31542</v>
      </c>
      <c r="E4">
        <v>6748</v>
      </c>
      <c r="F4">
        <v>4642</v>
      </c>
      <c r="G4">
        <v>53750</v>
      </c>
      <c r="H4">
        <v>4471</v>
      </c>
      <c r="I4">
        <v>3075</v>
      </c>
      <c r="J4">
        <v>35610</v>
      </c>
      <c r="K4">
        <v>4612</v>
      </c>
      <c r="L4">
        <v>3173</v>
      </c>
      <c r="M4">
        <v>36739</v>
      </c>
      <c r="N4">
        <v>5920</v>
      </c>
      <c r="O4">
        <v>4073</v>
      </c>
      <c r="P4">
        <v>47157</v>
      </c>
      <c r="Q4">
        <v>2887</v>
      </c>
      <c r="R4">
        <v>1986</v>
      </c>
      <c r="S4">
        <v>22996</v>
      </c>
      <c r="T4">
        <v>3256</v>
      </c>
      <c r="U4">
        <v>2240</v>
      </c>
      <c r="V4">
        <v>25935</v>
      </c>
      <c r="W4">
        <v>697</v>
      </c>
      <c r="X4">
        <v>480</v>
      </c>
      <c r="Y4">
        <v>5551</v>
      </c>
      <c r="Z4">
        <v>609</v>
      </c>
      <c r="AA4">
        <v>419</v>
      </c>
      <c r="AB4">
        <v>4848</v>
      </c>
      <c r="AC4">
        <v>10</v>
      </c>
      <c r="AD4">
        <v>7</v>
      </c>
      <c r="AE4">
        <v>72</v>
      </c>
      <c r="AF4">
        <v>42</v>
      </c>
      <c r="AG4">
        <v>29</v>
      </c>
      <c r="AH4">
        <v>331</v>
      </c>
      <c r="AI4">
        <v>299</v>
      </c>
      <c r="AJ4">
        <v>206</v>
      </c>
      <c r="AK4">
        <v>2377</v>
      </c>
      <c r="AL4">
        <v>405</v>
      </c>
      <c r="AM4">
        <v>279</v>
      </c>
      <c r="AN4">
        <v>3224</v>
      </c>
      <c r="AO4">
        <v>973</v>
      </c>
      <c r="AP4">
        <v>669</v>
      </c>
      <c r="AQ4">
        <v>7744</v>
      </c>
      <c r="AR4">
        <v>3205</v>
      </c>
      <c r="AS4">
        <v>2205</v>
      </c>
      <c r="AT4">
        <v>25529</v>
      </c>
      <c r="AU4">
        <v>3099</v>
      </c>
      <c r="AV4">
        <v>2132</v>
      </c>
      <c r="AW4">
        <v>24686</v>
      </c>
      <c r="AX4">
        <v>3111</v>
      </c>
      <c r="AY4">
        <v>2140</v>
      </c>
      <c r="AZ4">
        <v>24781</v>
      </c>
      <c r="BA4">
        <v>321</v>
      </c>
      <c r="BB4">
        <v>221</v>
      </c>
      <c r="BC4">
        <v>2554</v>
      </c>
      <c r="BD4">
        <v>279</v>
      </c>
      <c r="BE4">
        <v>192</v>
      </c>
      <c r="BF4">
        <v>2215</v>
      </c>
      <c r="BG4">
        <v>3</v>
      </c>
      <c r="BH4">
        <v>2</v>
      </c>
      <c r="BI4">
        <v>19</v>
      </c>
    </row>
    <row r="5" spans="1:61" x14ac:dyDescent="0.35">
      <c r="A5" t="s">
        <v>36</v>
      </c>
      <c r="B5">
        <v>3.9198933611500003E-3</v>
      </c>
      <c r="C5">
        <v>2.6965075061600001E-3</v>
      </c>
      <c r="D5">
        <v>3.1226599132690002E-2</v>
      </c>
      <c r="E5">
        <v>6.6797601453500001E-3</v>
      </c>
      <c r="F5">
        <v>4.5950289234400008E-3</v>
      </c>
      <c r="G5">
        <v>5.3212210931210001E-2</v>
      </c>
      <c r="H5">
        <v>4.4252750620999998E-3</v>
      </c>
      <c r="I5">
        <v>3.0441612366400002E-3</v>
      </c>
      <c r="J5">
        <v>3.5252563701260002E-2</v>
      </c>
      <c r="K5">
        <v>4.5657336778999998E-3</v>
      </c>
      <c r="L5">
        <v>3.1407831793600002E-3</v>
      </c>
      <c r="M5">
        <v>3.6371483142739996E-2</v>
      </c>
      <c r="N5">
        <v>5.8604182198500002E-3</v>
      </c>
      <c r="O5">
        <v>4.0314009242400006E-3</v>
      </c>
      <c r="P5">
        <v>4.6685180855910002E-2</v>
      </c>
      <c r="Q5">
        <v>2.8577527664499997E-3</v>
      </c>
      <c r="R5">
        <v>1.9658575056800002E-3</v>
      </c>
      <c r="S5">
        <v>2.2765389727869997E-2</v>
      </c>
      <c r="T5">
        <v>3.2229866007499998E-3</v>
      </c>
      <c r="U5">
        <v>2.2171030588000002E-3</v>
      </c>
      <c r="V5">
        <v>2.567491034045E-2</v>
      </c>
      <c r="W5">
        <v>6.8983203808500003E-4</v>
      </c>
      <c r="X5">
        <v>4.7453772266400007E-4</v>
      </c>
      <c r="Y5">
        <v>5.4953302392509997E-3</v>
      </c>
      <c r="Z5">
        <v>6.0247009371499998E-4</v>
      </c>
      <c r="AA5">
        <v>4.14441154456E-4</v>
      </c>
      <c r="AB5">
        <v>4.799388751829E-3</v>
      </c>
      <c r="AC5">
        <v>8.9216080965000001E-6</v>
      </c>
      <c r="AD5">
        <v>6.137203485600001E-6</v>
      </c>
      <c r="AE5">
        <v>7.10711884179E-5</v>
      </c>
      <c r="AF5">
        <v>0.12478650033500001</v>
      </c>
      <c r="AG5">
        <v>8.5841043064000019E-2</v>
      </c>
      <c r="AH5">
        <v>0.99407245660100008</v>
      </c>
      <c r="AI5">
        <v>4.0508223363499996</v>
      </c>
      <c r="AJ5">
        <v>2.7865739778400003</v>
      </c>
      <c r="AK5">
        <v>32.269603685809997</v>
      </c>
      <c r="AL5">
        <v>11.53915177</v>
      </c>
      <c r="AM5">
        <v>7.9378203680000006</v>
      </c>
      <c r="AN5">
        <v>91.923027861999998</v>
      </c>
      <c r="AO5">
        <v>51.362691173000002</v>
      </c>
      <c r="AP5">
        <v>35.332563803200003</v>
      </c>
      <c r="AQ5">
        <v>409.16474502379998</v>
      </c>
      <c r="AR5">
        <v>380.42946773499995</v>
      </c>
      <c r="AS5">
        <v>261.69867922399999</v>
      </c>
      <c r="AT5">
        <v>3030.5718530409999</v>
      </c>
      <c r="AU5">
        <v>717.75802836499997</v>
      </c>
      <c r="AV5">
        <v>493.74810301600007</v>
      </c>
      <c r="AW5">
        <v>5717.793868619</v>
      </c>
      <c r="AX5">
        <v>2158.1528467499998</v>
      </c>
      <c r="AY5">
        <v>1484.6004252</v>
      </c>
      <c r="AZ5">
        <v>17192.246728049999</v>
      </c>
      <c r="BA5">
        <v>863.58224615500001</v>
      </c>
      <c r="BB5">
        <v>594.06106095200005</v>
      </c>
      <c r="BC5">
        <v>6879.4566928929999</v>
      </c>
      <c r="BD5">
        <v>2032.8173562499999</v>
      </c>
      <c r="BE5">
        <v>1398.3817300000001</v>
      </c>
      <c r="BF5">
        <v>16193.800913749999</v>
      </c>
      <c r="BG5">
        <v>117.39067056499999</v>
      </c>
      <c r="BH5">
        <v>80.753427496</v>
      </c>
      <c r="BI5">
        <v>935.15590193899993</v>
      </c>
    </row>
    <row r="6" spans="1:61" x14ac:dyDescent="0.35">
      <c r="A6" t="s">
        <v>42</v>
      </c>
      <c r="B6">
        <v>0.2178155657292348</v>
      </c>
      <c r="C6">
        <v>0.2178155657292348</v>
      </c>
      <c r="D6">
        <v>0.2178155657292348</v>
      </c>
      <c r="E6">
        <v>4.5672265037305412E-2</v>
      </c>
      <c r="F6">
        <v>4.5672265037305419E-2</v>
      </c>
      <c r="G6">
        <v>4.5672265037305419E-2</v>
      </c>
      <c r="H6">
        <v>3.3044445474347678E-2</v>
      </c>
      <c r="I6">
        <v>3.3044445474347685E-2</v>
      </c>
      <c r="J6">
        <v>3.3044445474347685E-2</v>
      </c>
      <c r="K6">
        <v>8.6696763470565773E-3</v>
      </c>
      <c r="L6">
        <v>8.6696763470565773E-3</v>
      </c>
      <c r="M6">
        <v>8.6696763470565773E-3</v>
      </c>
      <c r="N6">
        <v>2.6947574718275353E-3</v>
      </c>
      <c r="O6">
        <v>2.6947574718275357E-3</v>
      </c>
      <c r="P6">
        <v>2.6947574718275357E-3</v>
      </c>
      <c r="Q6">
        <v>1.0765035165781541E-3</v>
      </c>
      <c r="R6">
        <v>1.0765035165781541E-3</v>
      </c>
      <c r="S6">
        <v>1.0765035165781541E-3</v>
      </c>
      <c r="T6">
        <v>6.3635495879601632E-4</v>
      </c>
      <c r="U6">
        <v>6.3635495879601643E-4</v>
      </c>
      <c r="V6">
        <v>6.3635495879601654E-4</v>
      </c>
      <c r="W6">
        <v>4.4596402556860412E-4</v>
      </c>
      <c r="X6">
        <v>4.4596402556860417E-4</v>
      </c>
      <c r="Y6">
        <v>4.4596402556860412E-4</v>
      </c>
      <c r="Z6">
        <v>1.7021276595744682E-4</v>
      </c>
      <c r="AA6">
        <v>1.7021276595744679E-4</v>
      </c>
      <c r="AB6">
        <v>1.7021276595744682E-4</v>
      </c>
      <c r="AC6">
        <v>0</v>
      </c>
      <c r="AD6">
        <v>0</v>
      </c>
      <c r="AE6">
        <v>0</v>
      </c>
      <c r="AF6">
        <v>0.21749999999999997</v>
      </c>
      <c r="AG6">
        <v>0.2175</v>
      </c>
      <c r="AH6">
        <v>0.2175</v>
      </c>
      <c r="AI6">
        <v>4.583333333333333E-2</v>
      </c>
      <c r="AJ6">
        <v>4.583333333333333E-2</v>
      </c>
      <c r="AK6">
        <v>4.5833333333333337E-2</v>
      </c>
      <c r="AL6">
        <v>3.3017660609163037E-2</v>
      </c>
      <c r="AM6">
        <v>3.3017660609163037E-2</v>
      </c>
      <c r="AN6">
        <v>3.3017660609163044E-2</v>
      </c>
      <c r="AO6">
        <v>8.6317135549872116E-3</v>
      </c>
      <c r="AP6">
        <v>8.6317135549872116E-3</v>
      </c>
      <c r="AQ6">
        <v>8.6317135549872134E-3</v>
      </c>
      <c r="AR6">
        <v>2.6827849246880858E-3</v>
      </c>
      <c r="AS6">
        <v>2.6827849246880862E-3</v>
      </c>
      <c r="AT6">
        <v>2.6827849246880862E-3</v>
      </c>
      <c r="AU6">
        <v>1.0696617194812142E-3</v>
      </c>
      <c r="AV6">
        <v>1.0696617194812139E-3</v>
      </c>
      <c r="AW6">
        <v>1.0696617194812142E-3</v>
      </c>
      <c r="AX6">
        <v>6.3267956445006821E-4</v>
      </c>
      <c r="AY6">
        <v>6.3267956445006821E-4</v>
      </c>
      <c r="AZ6">
        <v>6.3267956445006831E-4</v>
      </c>
      <c r="BA6">
        <v>3.2320620555914673E-4</v>
      </c>
      <c r="BB6">
        <v>3.2320620555914673E-4</v>
      </c>
      <c r="BC6">
        <v>3.2320620555914678E-4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</row>
    <row r="8" spans="1:61" x14ac:dyDescent="0.35">
      <c r="A8" t="s">
        <v>37</v>
      </c>
      <c r="B8">
        <v>1</v>
      </c>
      <c r="C8">
        <v>2</v>
      </c>
      <c r="D8">
        <v>3</v>
      </c>
      <c r="E8">
        <v>1</v>
      </c>
      <c r="F8">
        <v>2</v>
      </c>
      <c r="G8">
        <v>3</v>
      </c>
      <c r="H8">
        <v>1</v>
      </c>
      <c r="I8">
        <v>2</v>
      </c>
      <c r="J8">
        <v>3</v>
      </c>
      <c r="K8">
        <v>1</v>
      </c>
      <c r="L8">
        <v>2</v>
      </c>
      <c r="M8">
        <v>3</v>
      </c>
      <c r="N8">
        <v>1</v>
      </c>
      <c r="O8">
        <v>2</v>
      </c>
      <c r="P8">
        <v>3</v>
      </c>
      <c r="Q8">
        <v>1</v>
      </c>
      <c r="R8">
        <v>2</v>
      </c>
      <c r="S8">
        <v>3</v>
      </c>
      <c r="T8">
        <v>1</v>
      </c>
      <c r="U8">
        <v>2</v>
      </c>
      <c r="V8">
        <v>3</v>
      </c>
      <c r="W8">
        <v>1</v>
      </c>
      <c r="X8">
        <v>2</v>
      </c>
      <c r="Y8">
        <v>3</v>
      </c>
      <c r="Z8">
        <v>1</v>
      </c>
      <c r="AA8">
        <v>2</v>
      </c>
      <c r="AB8">
        <v>3</v>
      </c>
      <c r="AC8">
        <v>1</v>
      </c>
      <c r="AD8">
        <v>2</v>
      </c>
      <c r="AE8">
        <v>3</v>
      </c>
      <c r="AF8">
        <v>1</v>
      </c>
      <c r="AG8">
        <v>2</v>
      </c>
      <c r="AH8">
        <v>3</v>
      </c>
      <c r="AI8">
        <v>1</v>
      </c>
      <c r="AJ8">
        <v>2</v>
      </c>
      <c r="AK8">
        <v>3</v>
      </c>
      <c r="AL8">
        <v>1</v>
      </c>
      <c r="AM8">
        <v>2</v>
      </c>
      <c r="AN8">
        <v>3</v>
      </c>
      <c r="AO8">
        <v>1</v>
      </c>
      <c r="AP8">
        <v>2</v>
      </c>
      <c r="AQ8">
        <v>3</v>
      </c>
      <c r="AR8">
        <v>1</v>
      </c>
      <c r="AS8">
        <v>2</v>
      </c>
      <c r="AT8">
        <v>3</v>
      </c>
      <c r="AU8">
        <v>1</v>
      </c>
      <c r="AV8">
        <v>2</v>
      </c>
      <c r="AW8">
        <v>3</v>
      </c>
      <c r="AX8">
        <v>1</v>
      </c>
      <c r="AY8">
        <v>2</v>
      </c>
      <c r="AZ8">
        <v>3</v>
      </c>
      <c r="BA8">
        <v>1</v>
      </c>
      <c r="BB8">
        <v>2</v>
      </c>
      <c r="BC8">
        <v>3</v>
      </c>
      <c r="BD8">
        <v>1</v>
      </c>
      <c r="BE8">
        <v>2</v>
      </c>
      <c r="BF8">
        <v>3</v>
      </c>
      <c r="BG8">
        <v>1</v>
      </c>
      <c r="BH8">
        <v>2</v>
      </c>
      <c r="BI8">
        <v>3</v>
      </c>
    </row>
    <row r="9" spans="1:61" x14ac:dyDescent="0.35">
      <c r="A9" t="s">
        <v>38</v>
      </c>
      <c r="B9">
        <v>1</v>
      </c>
      <c r="C9">
        <v>1</v>
      </c>
      <c r="D9">
        <v>1</v>
      </c>
      <c r="E9">
        <v>2</v>
      </c>
      <c r="F9">
        <v>2</v>
      </c>
      <c r="G9">
        <v>2</v>
      </c>
      <c r="H9">
        <v>3</v>
      </c>
      <c r="I9">
        <v>3</v>
      </c>
      <c r="J9">
        <v>3</v>
      </c>
      <c r="K9">
        <v>4</v>
      </c>
      <c r="L9">
        <v>4</v>
      </c>
      <c r="M9">
        <v>4</v>
      </c>
      <c r="N9">
        <v>5</v>
      </c>
      <c r="O9">
        <v>5</v>
      </c>
      <c r="P9">
        <v>5</v>
      </c>
      <c r="Q9">
        <v>6</v>
      </c>
      <c r="R9">
        <v>6</v>
      </c>
      <c r="S9">
        <v>6</v>
      </c>
      <c r="T9">
        <v>7</v>
      </c>
      <c r="U9">
        <v>7</v>
      </c>
      <c r="V9">
        <v>7</v>
      </c>
      <c r="W9">
        <v>8</v>
      </c>
      <c r="X9">
        <v>8</v>
      </c>
      <c r="Y9">
        <v>8</v>
      </c>
      <c r="Z9">
        <v>9</v>
      </c>
      <c r="AA9">
        <v>9</v>
      </c>
      <c r="AB9">
        <v>9</v>
      </c>
      <c r="AC9">
        <v>10</v>
      </c>
      <c r="AD9">
        <v>10</v>
      </c>
      <c r="AE9">
        <v>10</v>
      </c>
      <c r="AF9">
        <v>11</v>
      </c>
      <c r="AG9">
        <v>11</v>
      </c>
      <c r="AH9">
        <v>11</v>
      </c>
      <c r="AI9">
        <v>12</v>
      </c>
      <c r="AJ9">
        <v>12</v>
      </c>
      <c r="AK9">
        <v>12</v>
      </c>
      <c r="AL9">
        <v>13</v>
      </c>
      <c r="AM9">
        <v>13</v>
      </c>
      <c r="AN9">
        <v>13</v>
      </c>
      <c r="AO9">
        <v>14</v>
      </c>
      <c r="AP9">
        <v>14</v>
      </c>
      <c r="AQ9">
        <v>14</v>
      </c>
      <c r="AR9">
        <v>15</v>
      </c>
      <c r="AS9">
        <v>15</v>
      </c>
      <c r="AT9">
        <v>15</v>
      </c>
      <c r="AU9">
        <v>16</v>
      </c>
      <c r="AV9">
        <v>16</v>
      </c>
      <c r="AW9">
        <v>16</v>
      </c>
      <c r="AX9">
        <v>17</v>
      </c>
      <c r="AY9">
        <v>17</v>
      </c>
      <c r="AZ9">
        <v>17</v>
      </c>
      <c r="BA9">
        <v>18</v>
      </c>
      <c r="BB9">
        <v>18</v>
      </c>
      <c r="BC9">
        <v>18</v>
      </c>
      <c r="BD9">
        <v>19</v>
      </c>
      <c r="BE9">
        <v>19</v>
      </c>
      <c r="BF9">
        <v>19</v>
      </c>
      <c r="BG9">
        <v>20</v>
      </c>
      <c r="BH9">
        <v>20</v>
      </c>
      <c r="BI9">
        <v>20</v>
      </c>
    </row>
    <row r="10" spans="1:61" x14ac:dyDescent="0.35">
      <c r="B10">
        <v>24722.414796023946</v>
      </c>
      <c r="C10">
        <v>17006.630264125859</v>
      </c>
      <c r="D10">
        <v>196943.35159185019</v>
      </c>
      <c r="E10">
        <v>295930.50515545957</v>
      </c>
      <c r="F10">
        <v>203571.56558445509</v>
      </c>
      <c r="G10">
        <v>2357437.4107240853</v>
      </c>
      <c r="H10">
        <v>514042.43018297653</v>
      </c>
      <c r="I10">
        <v>353611.47453931527</v>
      </c>
      <c r="J10">
        <v>4094957.5474697081</v>
      </c>
      <c r="K10">
        <v>1053865.7522640969</v>
      </c>
      <c r="L10">
        <v>724957.70921466884</v>
      </c>
      <c r="M10">
        <v>8395290.471873235</v>
      </c>
      <c r="N10">
        <v>3037583.1256183428</v>
      </c>
      <c r="O10">
        <v>2089563.3998604028</v>
      </c>
      <c r="P10">
        <v>24197951.795321256</v>
      </c>
      <c r="Q10">
        <v>3180682.6656258628</v>
      </c>
      <c r="R10">
        <v>2188002.0430088779</v>
      </c>
      <c r="S10">
        <v>25337909.329925261</v>
      </c>
      <c r="T10">
        <v>11804399.210803814</v>
      </c>
      <c r="U10">
        <v>8120284.9529313063</v>
      </c>
      <c r="V10">
        <v>94036038.278824881</v>
      </c>
      <c r="W10">
        <v>7620871.0302858027</v>
      </c>
      <c r="X10">
        <v>5242422.1894174628</v>
      </c>
      <c r="Y10">
        <v>60709275.171416737</v>
      </c>
      <c r="Z10">
        <v>24794620.985936001</v>
      </c>
      <c r="AA10">
        <v>17056301.139109038</v>
      </c>
      <c r="AB10">
        <v>197518559.52215499</v>
      </c>
      <c r="AC10">
        <v>2870031.9440269689</v>
      </c>
      <c r="AD10">
        <v>1974304.3922289889</v>
      </c>
      <c r="AE10">
        <v>22863207.938864045</v>
      </c>
      <c r="AF10">
        <v>403.18951817027045</v>
      </c>
      <c r="AG10">
        <v>277.35539260491754</v>
      </c>
      <c r="AH10">
        <v>3211.8826453768124</v>
      </c>
      <c r="AI10">
        <v>14191.470207305401</v>
      </c>
      <c r="AJ10">
        <v>9762.3589245341918</v>
      </c>
      <c r="AK10">
        <v>113051.8895384004</v>
      </c>
      <c r="AL10">
        <v>48381.429340615869</v>
      </c>
      <c r="AM10">
        <v>33281.744005772227</v>
      </c>
      <c r="AN10">
        <v>385415.45911921194</v>
      </c>
      <c r="AO10">
        <v>234506.01223709411</v>
      </c>
      <c r="AP10">
        <v>161317.45534308566</v>
      </c>
      <c r="AQ10">
        <v>1868118.4827398206</v>
      </c>
      <c r="AR10">
        <v>1753953.9949545567</v>
      </c>
      <c r="AS10">
        <v>1206550.7086822249</v>
      </c>
      <c r="AT10">
        <v>13972323.543403218</v>
      </c>
      <c r="AU10">
        <v>3489692.3374540275</v>
      </c>
      <c r="AV10">
        <v>2400570.8102664216</v>
      </c>
      <c r="AW10">
        <v>27799537.81347955</v>
      </c>
      <c r="AX10">
        <v>9754235.7322327755</v>
      </c>
      <c r="AY10">
        <v>6709970.7684658282</v>
      </c>
      <c r="AZ10">
        <v>77704054.930421397</v>
      </c>
      <c r="BA10">
        <v>3536954.5708510065</v>
      </c>
      <c r="BB10">
        <v>2433082.6557099544</v>
      </c>
      <c r="BC10">
        <v>28176037.549679037</v>
      </c>
      <c r="BD10">
        <v>10468420.592453791</v>
      </c>
      <c r="BE10">
        <v>7201260.8773903269</v>
      </c>
      <c r="BF10">
        <v>83393384.277435884</v>
      </c>
      <c r="BG10">
        <v>576008.46952568251</v>
      </c>
      <c r="BH10">
        <v>396238.11634305859</v>
      </c>
      <c r="BI10">
        <v>4588590.5349312592</v>
      </c>
    </row>
    <row r="11" spans="1:61" x14ac:dyDescent="0.35">
      <c r="A11" t="s">
        <v>39</v>
      </c>
    </row>
  </sheetData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Introduction</vt:lpstr>
      <vt:lpstr>Input_Data</vt:lpstr>
      <vt:lpstr>Scenario_Gen</vt:lpstr>
      <vt:lpstr>gas_type</vt:lpstr>
      <vt:lpstr>LUs</vt:lpstr>
      <vt:lpstr>Tranches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Scott Rutherford</dc:creator>
  <cp:lastModifiedBy>Jeff Rutherford</cp:lastModifiedBy>
  <dcterms:created xsi:type="dcterms:W3CDTF">2019-10-10T02:31:52Z</dcterms:created>
  <dcterms:modified xsi:type="dcterms:W3CDTF">2021-03-25T18:14:14Z</dcterms:modified>
</cp:coreProperties>
</file>